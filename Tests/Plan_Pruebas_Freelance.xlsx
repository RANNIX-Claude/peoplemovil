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esiones" sheetId="2" state="visible" r:id="rId2"/>
    <sheet xmlns:r="http://schemas.openxmlformats.org/officeDocument/2006/relationships" name="Hallazgos" sheetId="3" state="visible" r:id="rId3"/>
    <sheet xmlns:r="http://schemas.openxmlformats.org/officeDocument/2006/relationships" name="Instrucciones" sheetId="4" state="visible" r:id="rId4"/>
    <sheet xmlns:r="http://schemas.openxmlformats.org/officeDocument/2006/relationships" name="ESC-01" sheetId="5" state="visible" r:id="rId5"/>
    <sheet xmlns:r="http://schemas.openxmlformats.org/officeDocument/2006/relationships" name="ESC-02" sheetId="6" state="visible" r:id="rId6"/>
    <sheet xmlns:r="http://schemas.openxmlformats.org/officeDocument/2006/relationships" name="ESC-03" sheetId="7" state="visible" r:id="rId7"/>
    <sheet xmlns:r="http://schemas.openxmlformats.org/officeDocument/2006/relationships" name="ESC-04" sheetId="8" state="visible" r:id="rId8"/>
    <sheet xmlns:r="http://schemas.openxmlformats.org/officeDocument/2006/relationships" name="ESC-05" sheetId="9" state="visible" r:id="rId9"/>
    <sheet xmlns:r="http://schemas.openxmlformats.org/officeDocument/2006/relationships" name="ESC-06" sheetId="10" state="visible" r:id="rId10"/>
    <sheet xmlns:r="http://schemas.openxmlformats.org/officeDocument/2006/relationships" name="ESC-07" sheetId="11" state="visible" r:id="rId11"/>
    <sheet xmlns:r="http://schemas.openxmlformats.org/officeDocument/2006/relationships" name="ESC-08" sheetId="12" state="visible" r:id="rId12"/>
    <sheet xmlns:r="http://schemas.openxmlformats.org/officeDocument/2006/relationships" name="ESC-09" sheetId="13" state="visible" r:id="rId13"/>
    <sheet xmlns:r="http://schemas.openxmlformats.org/officeDocument/2006/relationships" name="ESC-10" sheetId="14" state="visible" r:id="rId14"/>
    <sheet xmlns:r="http://schemas.openxmlformats.org/officeDocument/2006/relationships" name="ESC-11" sheetId="15" state="visible" r:id="rId15"/>
    <sheet xmlns:r="http://schemas.openxmlformats.org/officeDocument/2006/relationships" name="ESC-12" sheetId="16" state="visible" r:id="rId16"/>
    <sheet xmlns:r="http://schemas.openxmlformats.org/officeDocument/2006/relationships" name="ESC-13" sheetId="17" state="visible" r:id="rId17"/>
    <sheet xmlns:r="http://schemas.openxmlformats.org/officeDocument/2006/relationships" name="ESC-14" sheetId="18" state="visible" r:id="rId18"/>
    <sheet xmlns:r="http://schemas.openxmlformats.org/officeDocument/2006/relationships" name="ESC-15" sheetId="19" state="visible" r:id="rId19"/>
    <sheet xmlns:r="http://schemas.openxmlformats.org/officeDocument/2006/relationships" name="ESC-16" sheetId="20" state="visible" r:id="rId20"/>
    <sheet xmlns:r="http://schemas.openxmlformats.org/officeDocument/2006/relationships" name="ESC-17A" sheetId="21" state="visible" r:id="rId21"/>
    <sheet xmlns:r="http://schemas.openxmlformats.org/officeDocument/2006/relationships" name="ESC-17B" sheetId="22" state="visible" r:id="rId22"/>
    <sheet xmlns:r="http://schemas.openxmlformats.org/officeDocument/2006/relationships" name="ESC-18" sheetId="23" state="visible" r:id="rId23"/>
    <sheet xmlns:r="http://schemas.openxmlformats.org/officeDocument/2006/relationships" name="ESC-19" sheetId="24" state="visible" r:id="rId24"/>
    <sheet xmlns:r="http://schemas.openxmlformats.org/officeDocument/2006/relationships" name="ESC-20" sheetId="25" state="visible" r:id="rId25"/>
    <sheet xmlns:r="http://schemas.openxmlformats.org/officeDocument/2006/relationships" name="ESC-21" sheetId="26" state="visible" r:id="rId26"/>
    <sheet xmlns:r="http://schemas.openxmlformats.org/officeDocument/2006/relationships" name="ESC-22" sheetId="27" state="visible" r:id="rId27"/>
    <sheet xmlns:r="http://schemas.openxmlformats.org/officeDocument/2006/relationships" name="ESC-23" sheetId="28" state="visible" r:id="rId28"/>
    <sheet xmlns:r="http://schemas.openxmlformats.org/officeDocument/2006/relationships" name="ESC-24" sheetId="29" state="visible" r:id="rId29"/>
    <sheet xmlns:r="http://schemas.openxmlformats.org/officeDocument/2006/relationships" name="ESC-25" sheetId="30" state="visible" r:id="rId30"/>
    <sheet xmlns:r="http://schemas.openxmlformats.org/officeDocument/2006/relationships" name="ESC-26" sheetId="31" state="visible" r:id="rId31"/>
    <sheet xmlns:r="http://schemas.openxmlformats.org/officeDocument/2006/relationships" name="ESC-27" sheetId="32" state="visible" r:id="rId32"/>
    <sheet xmlns:r="http://schemas.openxmlformats.org/officeDocument/2006/relationships" name="ESC-28" sheetId="33" state="visible" r:id="rId33"/>
    <sheet xmlns:r="http://schemas.openxmlformats.org/officeDocument/2006/relationships" name="ESC-29" sheetId="34" state="visible" r:id="rId34"/>
    <sheet xmlns:r="http://schemas.openxmlformats.org/officeDocument/2006/relationships" name="ESC-30" sheetId="35" state="visible" r:id="rId35"/>
    <sheet xmlns:r="http://schemas.openxmlformats.org/officeDocument/2006/relationships" name="ESC-31" sheetId="36" state="visible" r:id="rId3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name val="Arial"/>
      <charset val="1"/>
      <family val="0"/>
      <i val="1"/>
      <color rgb="FF808080"/>
      <sz val="10"/>
    </font>
    <font>
      <name val="Arial"/>
      <charset val="1"/>
      <family val="0"/>
      <sz val="11"/>
    </font>
    <font>
      <name val="Arial"/>
      <charset val="1"/>
      <family val="0"/>
      <b val="1"/>
      <sz val="13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D9D9D9"/>
        <bgColor rgb="FFE7E6E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9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9" fontId="14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9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9" fontId="14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D966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E7E6E6"/>
      <rgbColor rgb="FFFF99CC"/>
      <rgbColor rgb="FFCC99FF"/>
      <rgbColor rgb="FFF8CBAD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Plan_Pruebas_Freelance.xlsx" TargetMode="External" Id="rId1"/><Relationship Type="http://schemas.openxmlformats.org/officeDocument/2006/relationships/hyperlink" Target="Plan_Pruebas_Freelance.xlsx" TargetMode="External" Id="rId2"/><Relationship Type="http://schemas.openxmlformats.org/officeDocument/2006/relationships/hyperlink" Target="Plan_Pruebas_Freelance.xlsx" TargetMode="External" Id="rId3"/><Relationship Type="http://schemas.openxmlformats.org/officeDocument/2006/relationships/hyperlink" Target="Plan_Pruebas_Freelance.xlsx" TargetMode="External" Id="rId4"/><Relationship Type="http://schemas.openxmlformats.org/officeDocument/2006/relationships/hyperlink" Target="Plan_Pruebas_Freelance.xlsx" TargetMode="External" Id="rId5"/><Relationship Type="http://schemas.openxmlformats.org/officeDocument/2006/relationships/hyperlink" Target="Plan_Pruebas_Freelance.xlsx" TargetMode="External" Id="rId6"/><Relationship Type="http://schemas.openxmlformats.org/officeDocument/2006/relationships/hyperlink" Target="Plan_Pruebas_Freelance.xlsx" TargetMode="External" Id="rId7"/><Relationship Type="http://schemas.openxmlformats.org/officeDocument/2006/relationships/hyperlink" Target="Plan_Pruebas_Freelance.xlsx" TargetMode="External" Id="rId8"/><Relationship Type="http://schemas.openxmlformats.org/officeDocument/2006/relationships/hyperlink" Target="Plan_Pruebas_Freelance.xlsx" TargetMode="External" Id="rId9"/><Relationship Type="http://schemas.openxmlformats.org/officeDocument/2006/relationships/hyperlink" Target="Plan_Pruebas_Freelance.xlsx" TargetMode="External" Id="rId10"/><Relationship Type="http://schemas.openxmlformats.org/officeDocument/2006/relationships/hyperlink" Target="Plan_Pruebas_Freelance.xlsx" TargetMode="External" Id="rId11"/><Relationship Type="http://schemas.openxmlformats.org/officeDocument/2006/relationships/hyperlink" Target="Plan_Pruebas_Freelance.xlsx" TargetMode="External" Id="rId12"/><Relationship Type="http://schemas.openxmlformats.org/officeDocument/2006/relationships/hyperlink" Target="Plan_Pruebas_Freelance.xlsx" TargetMode="External" Id="rId13"/><Relationship Type="http://schemas.openxmlformats.org/officeDocument/2006/relationships/hyperlink" Target="Plan_Pruebas_Freelance.xlsx" TargetMode="External" Id="rId14"/><Relationship Type="http://schemas.openxmlformats.org/officeDocument/2006/relationships/hyperlink" Target="Plan_Pruebas_Freelance.xlsx" TargetMode="External" Id="rId15"/><Relationship Type="http://schemas.openxmlformats.org/officeDocument/2006/relationships/hyperlink" Target="Plan_Pruebas_Freelance.xlsx" TargetMode="External" Id="rId16"/><Relationship Type="http://schemas.openxmlformats.org/officeDocument/2006/relationships/hyperlink" Target="Plan_Pruebas_Freelance.xlsx" TargetMode="External" Id="rId17"/><Relationship Type="http://schemas.openxmlformats.org/officeDocument/2006/relationships/hyperlink" Target="Plan_Pruebas_Freelance.xlsx" TargetMode="External" Id="rId18"/><Relationship Type="http://schemas.openxmlformats.org/officeDocument/2006/relationships/hyperlink" Target="Plan_Pruebas_Freelance.xlsx" TargetMode="External" Id="rId19"/><Relationship Type="http://schemas.openxmlformats.org/officeDocument/2006/relationships/hyperlink" Target="Plan_Pruebas_Freelance.xlsx" TargetMode="External" Id="rId20"/><Relationship Type="http://schemas.openxmlformats.org/officeDocument/2006/relationships/hyperlink" Target="Plan_Pruebas_Freelance.xlsx" TargetMode="External" Id="rId21"/><Relationship Type="http://schemas.openxmlformats.org/officeDocument/2006/relationships/hyperlink" Target="Plan_Pruebas_Freelance.xlsx" TargetMode="External" Id="rId22"/><Relationship Type="http://schemas.openxmlformats.org/officeDocument/2006/relationships/hyperlink" Target="Plan_Pruebas_Freelance.xlsx" TargetMode="External" Id="rId23"/><Relationship Type="http://schemas.openxmlformats.org/officeDocument/2006/relationships/hyperlink" Target="Plan_Pruebas_Freelance.xlsx" TargetMode="External" Id="rId24"/><Relationship Type="http://schemas.openxmlformats.org/officeDocument/2006/relationships/hyperlink" Target="Plan_Pruebas_Freelance.xlsx" TargetMode="External" Id="rId25"/><Relationship Type="http://schemas.openxmlformats.org/officeDocument/2006/relationships/hyperlink" Target="Plan_Pruebas_Freelance.xlsx" TargetMode="External" Id="rId26"/><Relationship Type="http://schemas.openxmlformats.org/officeDocument/2006/relationships/hyperlink" Target="Plan_Pruebas_Freelance.xlsx" TargetMode="External" Id="rId27"/><Relationship Type="http://schemas.openxmlformats.org/officeDocument/2006/relationships/hyperlink" Target="Plan_Pruebas_Freelance.xlsx" TargetMode="External" Id="rId28"/><Relationship Type="http://schemas.openxmlformats.org/officeDocument/2006/relationships/hyperlink" Target="Plan_Pruebas_Freelance.xlsx" TargetMode="External" Id="rId29"/><Relationship Type="http://schemas.openxmlformats.org/officeDocument/2006/relationships/hyperlink" Target="Plan_Pruebas_Freelance.xlsx" TargetMode="External" Id="rId30"/><Relationship Type="http://schemas.openxmlformats.org/officeDocument/2006/relationships/hyperlink" Target="Plan_Pruebas_Freelance.xlsx" TargetMode="External" Id="rId31"/><Relationship Type="http://schemas.openxmlformats.org/officeDocument/2006/relationships/hyperlink" Target="Plan_Pruebas_Freelance.xlsx" TargetMode="External" Id="rId3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28" min="1" max="1"/>
    <col width="36" customWidth="1" style="28" min="2" max="2"/>
    <col width="20" customWidth="1" style="28" min="3" max="3"/>
    <col width="16" customWidth="1" style="28" min="4" max="4"/>
    <col width="46" customWidth="1" style="28" min="5" max="5"/>
    <col width="24" customWidth="1" style="28" min="6" max="6"/>
    <col width="8" customWidth="1" style="28" min="7" max="7"/>
    <col width="7" customWidth="1" style="28" min="8" max="8"/>
    <col width="9" customWidth="1" style="28" min="9" max="11"/>
    <col width="10" customWidth="1" style="28" min="12" max="12"/>
    <col width="9" customWidth="1" style="28" min="13" max="13"/>
    <col width="10" customWidth="1" style="28" min="14" max="14"/>
    <col width="12" customWidth="1" style="28" min="15" max="15"/>
    <col width="10" customWidth="1" style="28" min="16" max="17"/>
    <col width="46" customWidth="1" style="28" min="18" max="18"/>
  </cols>
  <sheetData>
    <row r="1" ht="17.35" customHeight="1" s="29">
      <c r="A1" s="30" t="inlineStr">
        <is>
          <t>Plan de pruebas — Freelance (rescate)</t>
        </is>
      </c>
    </row>
    <row r="2" ht="15" customHeight="1" s="29">
      <c r="A2" s="31" t="inlineStr">
        <is>
          <t>Una fila por escenario. Las columnas de resultado se calculan desde cada hoja ESC-xx. Llenar en amarillo: Corrida actual y Responsable.</t>
        </is>
      </c>
    </row>
    <row r="4" ht="35.05" customHeight="1" s="29">
      <c r="A4" s="32" t="inlineStr">
        <is>
          <t>ID</t>
        </is>
      </c>
      <c r="B4" s="32" t="inlineStr">
        <is>
          <t>Escenario</t>
        </is>
      </c>
      <c r="C4" s="32" t="inlineStr">
        <is>
          <t>Núm. original</t>
        </is>
      </c>
      <c r="D4" s="32" t="inlineStr">
        <is>
          <t>Módulo</t>
        </is>
      </c>
      <c r="E4" s="32" t="inlineStr">
        <is>
          <t>Objetivo</t>
        </is>
      </c>
      <c r="F4" s="32" t="inlineStr">
        <is>
          <t>Dependencias</t>
        </is>
      </c>
      <c r="G4" s="32" t="inlineStr">
        <is>
          <t>Sesión</t>
        </is>
      </c>
      <c r="H4" s="32" t="inlineStr">
        <is>
          <t>Pasos</t>
        </is>
      </c>
      <c r="I4" s="32" t="inlineStr">
        <is>
          <t>Legado Cumple</t>
        </is>
      </c>
      <c r="J4" s="32" t="inlineStr">
        <is>
          <t>Legado No cumple</t>
        </is>
      </c>
      <c r="K4" s="32" t="inlineStr">
        <is>
          <t>Legado Sin ejecutar</t>
        </is>
      </c>
      <c r="L4" s="32" t="inlineStr">
        <is>
          <t>Ejecutados</t>
        </is>
      </c>
      <c r="M4" s="32" t="inlineStr">
        <is>
          <t>CUMPLE</t>
        </is>
      </c>
      <c r="N4" s="32" t="inlineStr">
        <is>
          <t>% cumplimiento</t>
        </is>
      </c>
      <c r="O4" s="32" t="inlineStr">
        <is>
          <t>Estado</t>
        </is>
      </c>
      <c r="P4" s="32" t="inlineStr">
        <is>
          <t>Corrida actual</t>
        </is>
      </c>
      <c r="Q4" s="32" t="inlineStr">
        <is>
          <t>Hallazgos abiertos</t>
        </is>
      </c>
      <c r="R4" s="32" t="inlineStr">
        <is>
          <t>⚠ Calidad del caso</t>
        </is>
      </c>
    </row>
    <row r="5" ht="35.05" customHeight="1" s="29">
      <c r="A5" s="33" t="inlineStr">
        <is>
          <t>ESC-01</t>
        </is>
      </c>
      <c r="B5" s="34" t="inlineStr">
        <is>
          <t>Pedido para Metropólitan (Seguridad) - Sin Cancelación</t>
        </is>
      </c>
      <c r="C5" s="34" t="inlineStr">
        <is>
          <t>Escenario 1</t>
        </is>
      </c>
      <c r="D5" s="34" t="inlineStr">
        <is>
          <t>Pedidos</t>
        </is>
      </c>
      <c r="E5" s="34" t="inlineStr">
        <is>
          <t>Validar el alta completa de un pedido de Seguridad sin cancelación y su detalle, hasta la cancelación del pedido.</t>
        </is>
      </c>
      <c r="F5" s="34" t="inlineStr">
        <is>
          <t>—</t>
        </is>
      </c>
      <c r="G5" s="34" t="inlineStr">
        <is>
          <t>S01</t>
        </is>
      </c>
      <c r="H5" s="34" t="n">
        <v>25</v>
      </c>
      <c r="I5" s="34" t="n">
        <v>17</v>
      </c>
      <c r="J5" s="34" t="n">
        <v>8</v>
      </c>
      <c r="K5" s="34" t="n">
        <v>0</v>
      </c>
      <c r="L5" s="34">
        <f>'ESC-01'!J3</f>
        <v/>
      </c>
      <c r="M5" s="34">
        <f>'ESC-01'!J4</f>
        <v/>
      </c>
      <c r="N5" s="35">
        <f>'ESC-01'!J5</f>
        <v/>
      </c>
      <c r="O5" s="34">
        <f>IF(H5=0,"Por definir",IF(N5=1,"✅ 100%",IF(L5=0,"Sin probar","En ciclo")))</f>
        <v/>
      </c>
      <c r="P5" s="36" t="n"/>
      <c r="Q5" s="34">
        <f>COUNTIFS(Hallazgos!$B:$B,A5,Hallazgos!$M:$M,"&lt;&gt;Cerrado",Hallazgos!$A:$A,"&lt;&gt;")</f>
        <v/>
      </c>
      <c r="R5" s="37" t="inlineStr">
        <is>
          <t>Paso 13: la descripción (prerellenos) y el esperado (productos de Seguridad) no corresponden.</t>
        </is>
      </c>
    </row>
    <row r="6" ht="46.25" customHeight="1" s="29">
      <c r="A6" s="33" t="inlineStr">
        <is>
          <t>ESC-02</t>
        </is>
      </c>
      <c r="B6" s="34" t="inlineStr">
        <is>
          <t>Pedido PRG-Producción con complejidad y días show</t>
        </is>
      </c>
      <c r="C6" s="34" t="inlineStr">
        <is>
          <t>Escenario 2</t>
        </is>
      </c>
      <c r="D6" s="34" t="inlineStr">
        <is>
          <t>Pedidos</t>
        </is>
      </c>
      <c r="E6" s="34" t="inlineStr">
        <is>
          <t>Validar un pedido PRG con complejidad y días de show: personal Staff, bloques por producto y presupuesto ligado a complejidad.</t>
        </is>
      </c>
      <c r="F6" s="34" t="inlineStr">
        <is>
          <t>—</t>
        </is>
      </c>
      <c r="G6" s="34" t="inlineStr">
        <is>
          <t>S02</t>
        </is>
      </c>
      <c r="H6" s="34" t="n">
        <v>26</v>
      </c>
      <c r="I6" s="34" t="n">
        <v>13</v>
      </c>
      <c r="J6" s="34" t="n">
        <v>6</v>
      </c>
      <c r="K6" s="34" t="n">
        <v>7</v>
      </c>
      <c r="L6" s="34">
        <f>'ESC-02'!J3</f>
        <v/>
      </c>
      <c r="M6" s="34">
        <f>'ESC-02'!J4</f>
        <v/>
      </c>
      <c r="N6" s="35">
        <f>'ESC-02'!J5</f>
        <v/>
      </c>
      <c r="O6" s="34">
        <f>IF(H6=0,"Por definir",IF(N6=1,"✅ 100%",IF(L6=0,"Sin probar","En ciclo")))</f>
        <v/>
      </c>
      <c r="P6" s="36" t="inlineStr">
        <is>
          <t>R1</t>
        </is>
      </c>
      <c r="Q6" s="34">
        <f>COUNTIFS(Hallazgos!$B:$B,A6,Hallazgos!$M:$M,"&lt;&gt;Cerrado",Hallazgos!$A:$A,"&lt;&gt;")</f>
        <v/>
      </c>
      <c r="R6" s="37" t="inlineStr">
        <is>
          <t>Paso 5 esperado dice 'UN de seguridad' (copiado del Esc. 1). Paso 7 texto corrupto ('movi+E10:F10miento'). Paso 8 es Servicio Interno pero el esperado habla de Pedido. Paso 18: 'nos' probablemente es 'no'.</t>
        </is>
      </c>
    </row>
    <row r="7" ht="35.05" customHeight="1" s="29">
      <c r="A7" s="33" t="inlineStr">
        <is>
          <t>ESC-03</t>
        </is>
      </c>
      <c r="B7" s="34" t="inlineStr">
        <is>
          <t>Pedido PRG-Producción con complejidad y fase de evento</t>
        </is>
      </c>
      <c r="C7" s="34" t="inlineStr">
        <is>
          <t>Escenario 3</t>
        </is>
      </c>
      <c r="D7" s="34" t="inlineStr">
        <is>
          <t>Pedidos</t>
        </is>
      </c>
      <c r="E7" s="34" t="inlineStr">
        <is>
          <t>Validar un pedido PRG sin complejidad con varios detalles por fase de evento y arrastre de valores del detalle anterior.</t>
        </is>
      </c>
      <c r="F7" s="34" t="inlineStr">
        <is>
          <t>—</t>
        </is>
      </c>
      <c r="G7" s="34" t="inlineStr">
        <is>
          <t>S03</t>
        </is>
      </c>
      <c r="H7" s="34" t="n">
        <v>32</v>
      </c>
      <c r="I7" s="34" t="n">
        <v>18</v>
      </c>
      <c r="J7" s="34" t="n">
        <v>12</v>
      </c>
      <c r="K7" s="34" t="n">
        <v>2</v>
      </c>
      <c r="L7" s="34">
        <f>'ESC-03'!J3</f>
        <v/>
      </c>
      <c r="M7" s="34">
        <f>'ESC-03'!J4</f>
        <v/>
      </c>
      <c r="N7" s="35">
        <f>'ESC-03'!J5</f>
        <v/>
      </c>
      <c r="O7" s="34">
        <f>IF(H7=0,"Por definir",IF(N7=1,"✅ 100%",IF(L7=0,"Sin probar","En ciclo")))</f>
        <v/>
      </c>
      <c r="P7" s="36" t="n"/>
      <c r="Q7" s="34">
        <f>COUNTIFS(Hallazgos!$B:$B,A7,Hallazgos!$M:$M,"&lt;&gt;Cerrado",Hallazgos!$A:$A,"&lt;&gt;")</f>
        <v/>
      </c>
      <c r="R7" s="37" t="inlineStr">
        <is>
          <t>Paso 5 marcado Cumple y No cumple a la vez; esperado dice 'UN de seguridad'. Paso 8: Servicio Interno con esperado de Pedido.</t>
        </is>
      </c>
    </row>
    <row r="8" ht="35.05" customHeight="1" s="29">
      <c r="A8" s="33" t="inlineStr">
        <is>
          <t>ESC-04</t>
        </is>
      </c>
      <c r="B8" s="34" t="inlineStr">
        <is>
          <t>Pedido para Azteca (Seguridad) - Futbol América vs Pumas</t>
        </is>
      </c>
      <c r="C8" s="34" t="inlineStr">
        <is>
          <t>Escenario 4</t>
        </is>
      </c>
      <c r="D8" s="34" t="inlineStr">
        <is>
          <t>Pedidos</t>
        </is>
      </c>
      <c r="E8" s="34" t="inlineStr">
        <is>
          <t>Validar un pedido de Seguridad de gran volumen (9 productos) con alta repetitiva de detalles.</t>
        </is>
      </c>
      <c r="F8" s="34" t="inlineStr">
        <is>
          <t>—</t>
        </is>
      </c>
      <c r="G8" s="34" t="inlineStr">
        <is>
          <t>S04</t>
        </is>
      </c>
      <c r="H8" s="34" t="n">
        <v>106</v>
      </c>
      <c r="I8" s="34" t="n">
        <v>25</v>
      </c>
      <c r="J8" s="34" t="n">
        <v>6</v>
      </c>
      <c r="K8" s="34" t="n">
        <v>75</v>
      </c>
      <c r="L8" s="34">
        <f>'ESC-04'!J3</f>
        <v/>
      </c>
      <c r="M8" s="34">
        <f>'ESC-04'!J4</f>
        <v/>
      </c>
      <c r="N8" s="35">
        <f>'ESC-04'!J5</f>
        <v/>
      </c>
      <c r="O8" s="34">
        <f>IF(H8=0,"Por definir",IF(N8=1,"✅ 100%",IF(L8=0,"Sin probar","En ciclo")))</f>
        <v/>
      </c>
      <c r="P8" s="36" t="n"/>
      <c r="Q8" s="34">
        <f>COUNTIFS(Hallazgos!$B:$B,A8,Hallazgos!$M:$M,"&lt;&gt;Cerrado",Hallazgos!$A:$A,"&lt;&gt;")</f>
        <v/>
      </c>
      <c r="R8" s="37" t="inlineStr">
        <is>
          <t>9 bloques casi idénticos (parametrizable). El paso final 'El pedido debe quedar de la siguiente forma' remite a una imagen del archivo original.</t>
        </is>
      </c>
    </row>
    <row r="9" ht="46.25" customHeight="1" s="29">
      <c r="A9" s="33" t="inlineStr">
        <is>
          <t>ESC-05</t>
        </is>
      </c>
      <c r="B9" s="34" t="inlineStr">
        <is>
          <t>Seriado con cancelación de un día para que no deje forzar ese día de otro pedido</t>
        </is>
      </c>
      <c r="C9" s="34" t="inlineStr">
        <is>
          <t>Escenario 5</t>
        </is>
      </c>
      <c r="D9" s="34" t="inlineStr">
        <is>
          <t>Pedidos / Asignaciones</t>
        </is>
      </c>
      <c r="E9" s="34" t="inlineStr">
        <is>
          <t>Validar seriados: bloque semanal, cancelación de un día y que no se pueda forzar ese día desde otro pedido según la propiedad del puesto.</t>
        </is>
      </c>
      <c r="F9" s="34" t="inlineStr">
        <is>
          <t>Requiere que un empleado confirme el bloque (portal)</t>
        </is>
      </c>
      <c r="G9" s="34" t="inlineStr">
        <is>
          <t>S05</t>
        </is>
      </c>
      <c r="H9" s="34" t="n">
        <v>48</v>
      </c>
      <c r="I9" s="34" t="n">
        <v>43</v>
      </c>
      <c r="J9" s="34" t="n">
        <v>1</v>
      </c>
      <c r="K9" s="34" t="n">
        <v>4</v>
      </c>
      <c r="L9" s="34">
        <f>'ESC-05'!J3</f>
        <v/>
      </c>
      <c r="M9" s="34">
        <f>'ESC-05'!J4</f>
        <v/>
      </c>
      <c r="N9" s="35">
        <f>'ESC-05'!J5</f>
        <v/>
      </c>
      <c r="O9" s="34">
        <f>IF(H9=0,"Por definir",IF(N9=1,"✅ 100%",IF(L9=0,"Sin probar","En ciclo")))</f>
        <v/>
      </c>
      <c r="P9" s="36" t="n"/>
      <c r="Q9" s="34">
        <f>COUNTIFS(Hallazgos!$B:$B,A9,Hallazgos!$M:$M,"&lt;&gt;Cerrado",Hallazgos!$A:$A,"&lt;&gt;")</f>
        <v/>
      </c>
      <c r="R9" s="37" t="inlineStr">
        <is>
          <t>Numeración repetida (varios pasos '13'). Producto de Operaciones Inmuebles con esperado 'catálogo PRG'. Fase: legado observa 'Ninguno' vs 'No aplica'. Variante final sin pasos.</t>
        </is>
      </c>
    </row>
    <row r="10" ht="23.85" customHeight="1" s="29">
      <c r="A10" s="33" t="inlineStr">
        <is>
          <t>ESC-06</t>
        </is>
      </c>
      <c r="B10" s="34" t="inlineStr">
        <is>
          <t>Pedido de Transporte con empalme de horario</t>
        </is>
      </c>
      <c r="C10" s="34" t="inlineStr">
        <is>
          <t>Escenario 6</t>
        </is>
      </c>
      <c r="D10" s="34" t="inlineStr">
        <is>
          <t>Pedidos</t>
        </is>
      </c>
      <c r="E10" s="34" t="inlineStr">
        <is>
          <t>Validar la detección de empalme de horarios entre detalles de un pedido de Transporte.</t>
        </is>
      </c>
      <c r="F10" s="34" t="inlineStr">
        <is>
          <t>—</t>
        </is>
      </c>
      <c r="G10" s="34" t="inlineStr">
        <is>
          <t>S06</t>
        </is>
      </c>
      <c r="H10" s="34" t="n">
        <v>5</v>
      </c>
      <c r="I10" s="34" t="n">
        <v>2</v>
      </c>
      <c r="J10" s="34" t="n">
        <v>2</v>
      </c>
      <c r="K10" s="34" t="n">
        <v>1</v>
      </c>
      <c r="L10" s="34">
        <f>'ESC-06'!J3</f>
        <v/>
      </c>
      <c r="M10" s="34">
        <f>'ESC-06'!J4</f>
        <v/>
      </c>
      <c r="N10" s="35">
        <f>'ESC-06'!J5</f>
        <v/>
      </c>
      <c r="O10" s="34">
        <f>IF(H10=0,"Por definir",IF(N10=1,"✅ 100%",IF(L10=0,"Sin probar","En ciclo")))</f>
        <v/>
      </c>
      <c r="P10" s="36" t="n"/>
      <c r="Q10" s="34">
        <f>COUNTIFS(Hallazgos!$B:$B,A10,Hallazgos!$M:$M,"&lt;&gt;Cerrado",Hallazgos!$A:$A,"&lt;&gt;")</f>
        <v/>
      </c>
      <c r="R10" s="34" t="n"/>
    </row>
    <row r="11" ht="23.85" customHeight="1" s="29">
      <c r="A11" s="33" t="inlineStr">
        <is>
          <t>ESC-07</t>
        </is>
      </c>
      <c r="B11" s="34" t="inlineStr">
        <is>
          <t>Comprobar fecha y hora  de liberación</t>
        </is>
      </c>
      <c r="C11" s="34" t="inlineStr">
        <is>
          <t>Escenario 7</t>
        </is>
      </c>
      <c r="D11" s="34" t="inlineStr">
        <is>
          <t>Pedidos</t>
        </is>
      </c>
      <c r="E11" s="34" t="inlineStr">
        <is>
          <t>Validar la liberación programada por fecha y hora, y la actualización del semáforo.</t>
        </is>
      </c>
      <c r="F11" s="34" t="inlineStr">
        <is>
          <t>Espera de 1 hora real</t>
        </is>
      </c>
      <c r="G11" s="34" t="inlineStr">
        <is>
          <t>S06</t>
        </is>
      </c>
      <c r="H11" s="34" t="n">
        <v>5</v>
      </c>
      <c r="I11" s="34" t="n">
        <v>2</v>
      </c>
      <c r="J11" s="34" t="n">
        <v>0</v>
      </c>
      <c r="K11" s="34" t="n">
        <v>3</v>
      </c>
      <c r="L11" s="34">
        <f>'ESC-07'!J3</f>
        <v/>
      </c>
      <c r="M11" s="34">
        <f>'ESC-07'!J4</f>
        <v/>
      </c>
      <c r="N11" s="35">
        <f>'ESC-07'!J5</f>
        <v/>
      </c>
      <c r="O11" s="34">
        <f>IF(H11=0,"Por definir",IF(N11=1,"✅ 100%",IF(L11=0,"Sin probar","En ciclo")))</f>
        <v/>
      </c>
      <c r="P11" s="36" t="n"/>
      <c r="Q11" s="34">
        <f>COUNTIFS(Hallazgos!$B:$B,A11,Hallazgos!$M:$M,"&lt;&gt;Cerrado",Hallazgos!$A:$A,"&lt;&gt;")</f>
        <v/>
      </c>
      <c r="R11" s="37" t="inlineStr">
        <is>
          <t>Requiere esperar la hora programada; considerar mecanismo para simular tiempo.</t>
        </is>
      </c>
    </row>
    <row r="12" ht="23.85" customHeight="1" s="29">
      <c r="A12" s="33" t="inlineStr">
        <is>
          <t>ESC-08</t>
        </is>
      </c>
      <c r="B12" s="34" t="inlineStr">
        <is>
          <t>Validación de plazas</t>
        </is>
      </c>
      <c r="C12" s="34" t="inlineStr">
        <is>
          <t>Escenario 8</t>
        </is>
      </c>
      <c r="D12" s="34" t="inlineStr">
        <is>
          <t>Asignaciones / Nómina</t>
        </is>
      </c>
      <c r="E12" s="34" t="inlineStr">
        <is>
          <t>Validar el sueldo según plaza vigente en la fecha del evento y su recálculo al mover la fecha de inicio.</t>
        </is>
      </c>
      <c r="F12" s="34" t="inlineStr">
        <is>
          <t>Empleado ID 54943; fechas 2019</t>
        </is>
      </c>
      <c r="G12" s="34" t="inlineStr">
        <is>
          <t>S07</t>
        </is>
      </c>
      <c r="H12" s="34" t="n">
        <v>13</v>
      </c>
      <c r="I12" s="34" t="n">
        <v>0</v>
      </c>
      <c r="J12" s="34" t="n">
        <v>0</v>
      </c>
      <c r="K12" s="34" t="n">
        <v>13</v>
      </c>
      <c r="L12" s="34">
        <f>'ESC-08'!J3</f>
        <v/>
      </c>
      <c r="M12" s="34">
        <f>'ESC-08'!J4</f>
        <v/>
      </c>
      <c r="N12" s="35">
        <f>'ESC-08'!J5</f>
        <v/>
      </c>
      <c r="O12" s="34">
        <f>IF(H12=0,"Por definir",IF(N12=1,"✅ 100%",IF(L12=0,"Sin probar","En ciclo")))</f>
        <v/>
      </c>
      <c r="P12" s="36" t="n"/>
      <c r="Q12" s="34">
        <f>COUNTIFS(Hallazgos!$B:$B,A12,Hallazgos!$M:$M,"&lt;&gt;Cerrado",Hallazgos!$A:$A,"&lt;&gt;")</f>
        <v/>
      </c>
      <c r="R12" s="37" t="inlineStr">
        <is>
          <t>Usa fechas de 2019: confirmar si siguen siendo válidas en el sistema nuevo.</t>
        </is>
      </c>
    </row>
    <row r="13" ht="23.85" customHeight="1" s="29">
      <c r="A13" s="33" t="inlineStr">
        <is>
          <t>ESC-09</t>
        </is>
      </c>
      <c r="B13" s="34" t="inlineStr">
        <is>
          <t>Validación de certeza valor</t>
        </is>
      </c>
      <c r="C13" s="34" t="inlineStr">
        <is>
          <t>Escenario 9</t>
        </is>
      </c>
      <c r="D13" s="34" t="inlineStr">
        <is>
          <t>Asignaciones</t>
        </is>
      </c>
      <c r="E13" s="34" t="inlineStr">
        <is>
          <t>Validar que la certeza valor del empleado restringe visibilidad y asignación forzada.</t>
        </is>
      </c>
      <c r="F13" s="34" t="inlineStr">
        <is>
          <t>Empleado ID 57231</t>
        </is>
      </c>
      <c r="G13" s="34" t="inlineStr">
        <is>
          <t>S07</t>
        </is>
      </c>
      <c r="H13" s="34" t="n">
        <v>7</v>
      </c>
      <c r="I13" s="34" t="n">
        <v>0</v>
      </c>
      <c r="J13" s="34" t="n">
        <v>0</v>
      </c>
      <c r="K13" s="34" t="n">
        <v>7</v>
      </c>
      <c r="L13" s="34">
        <f>'ESC-09'!J3</f>
        <v/>
      </c>
      <c r="M13" s="34">
        <f>'ESC-09'!J4</f>
        <v/>
      </c>
      <c r="N13" s="35">
        <f>'ESC-09'!J5</f>
        <v/>
      </c>
      <c r="O13" s="34">
        <f>IF(H13=0,"Por definir",IF(N13=1,"✅ 100%",IF(L13=0,"Sin probar","En ciclo")))</f>
        <v/>
      </c>
      <c r="P13" s="36" t="n"/>
      <c r="Q13" s="34">
        <f>COUNTIFS(Hallazgos!$B:$B,A13,Hallazgos!$M:$M,"&lt;&gt;Cerrado",Hallazgos!$A:$A,"&lt;&gt;")</f>
        <v/>
      </c>
      <c r="R13" s="34" t="n"/>
    </row>
    <row r="14" ht="23.85" customHeight="1" s="29">
      <c r="A14" s="33" t="inlineStr">
        <is>
          <t>ESC-10</t>
        </is>
      </c>
      <c r="B14" s="34" t="inlineStr">
        <is>
          <t>Cancelación de preasignación forzada por no confirmación</t>
        </is>
      </c>
      <c r="C14" s="34" t="inlineStr">
        <is>
          <t>Escenario 10</t>
        </is>
      </c>
      <c r="D14" s="34" t="inlineStr">
        <is>
          <t>Asignaciones</t>
        </is>
      </c>
      <c r="E14" s="34" t="inlineStr">
        <is>
          <t>Validar el proceso de cancelación de preasignaciones no confirmadas y la visibilidad posterior.</t>
        </is>
      </c>
      <c r="F14" s="34" t="inlineStr">
        <is>
          <t>Empleados ID 3891, 16338, 33817, 46486, 54501</t>
        </is>
      </c>
      <c r="G14" s="34" t="inlineStr">
        <is>
          <t>S08</t>
        </is>
      </c>
      <c r="H14" s="34" t="n">
        <v>7</v>
      </c>
      <c r="I14" s="34" t="n">
        <v>1</v>
      </c>
      <c r="J14" s="34" t="n">
        <v>0</v>
      </c>
      <c r="K14" s="34" t="n">
        <v>6</v>
      </c>
      <c r="L14" s="34">
        <f>'ESC-10'!J3</f>
        <v/>
      </c>
      <c r="M14" s="34">
        <f>'ESC-10'!J4</f>
        <v/>
      </c>
      <c r="N14" s="35">
        <f>'ESC-10'!J5</f>
        <v/>
      </c>
      <c r="O14" s="34">
        <f>IF(H14=0,"Por definir",IF(N14=1,"✅ 100%",IF(L14=0,"Sin probar","En ciclo")))</f>
        <v/>
      </c>
      <c r="P14" s="36" t="n"/>
      <c r="Q14" s="34">
        <f>COUNTIFS(Hallazgos!$B:$B,A14,Hallazgos!$M:$M,"&lt;&gt;Cerrado",Hallazgos!$A:$A,"&lt;&gt;")</f>
        <v/>
      </c>
      <c r="R14" s="37" t="inlineStr">
        <is>
          <t>Pide 4 personas pero lista 5 IDs.</t>
        </is>
      </c>
    </row>
    <row r="15" ht="23.85" customHeight="1" s="29">
      <c r="A15" s="33" t="inlineStr">
        <is>
          <t>ESC-11</t>
        </is>
      </c>
      <c r="B15" s="34" t="inlineStr">
        <is>
          <t>Confirmación de personal sin puesto asignado vigente</t>
        </is>
      </c>
      <c r="C15" s="34" t="inlineStr">
        <is>
          <t>Escenario 11</t>
        </is>
      </c>
      <c r="D15" s="34" t="inlineStr">
        <is>
          <t>Asignaciones</t>
        </is>
      </c>
      <c r="E15" s="34" t="inlineStr">
        <is>
          <t>Validar que no se permita preasignar a un empleado sin puesto vigente.</t>
        </is>
      </c>
      <c r="F15" s="34" t="inlineStr">
        <is>
          <t>Empleado ID 58172</t>
        </is>
      </c>
      <c r="G15" s="34" t="inlineStr">
        <is>
          <t>S07</t>
        </is>
      </c>
      <c r="H15" s="34" t="n">
        <v>7</v>
      </c>
      <c r="I15" s="34" t="n">
        <v>5</v>
      </c>
      <c r="J15" s="34" t="n">
        <v>0</v>
      </c>
      <c r="K15" s="34" t="n">
        <v>2</v>
      </c>
      <c r="L15" s="34">
        <f>'ESC-11'!J3</f>
        <v/>
      </c>
      <c r="M15" s="34">
        <f>'ESC-11'!J4</f>
        <v/>
      </c>
      <c r="N15" s="35">
        <f>'ESC-11'!J5</f>
        <v/>
      </c>
      <c r="O15" s="34">
        <f>IF(H15=0,"Por definir",IF(N15=1,"✅ 100%",IF(L15=0,"Sin probar","En ciclo")))</f>
        <v/>
      </c>
      <c r="P15" s="36" t="n"/>
      <c r="Q15" s="34">
        <f>COUNTIFS(Hallazgos!$B:$B,A15,Hallazgos!$M:$M,"&lt;&gt;Cerrado",Hallazgos!$A:$A,"&lt;&gt;")</f>
        <v/>
      </c>
      <c r="R15" s="37" t="inlineStr">
        <is>
          <t>Legado: los mensajes emergentes no indican qué regla falló.</t>
        </is>
      </c>
    </row>
    <row r="16" ht="23.85" customHeight="1" s="29">
      <c r="A16" s="33" t="inlineStr">
        <is>
          <t>ESC-12</t>
        </is>
      </c>
      <c r="B16" s="34" t="inlineStr">
        <is>
          <t>Productos similares</t>
        </is>
      </c>
      <c r="C16" s="34" t="inlineStr">
        <is>
          <t>Escenario 12</t>
        </is>
      </c>
      <c r="D16" s="34" t="inlineStr">
        <is>
          <t>Asignaciones</t>
        </is>
      </c>
      <c r="E16" s="34" t="inlineStr">
        <is>
          <t>Validar la regla de productos similares en asignación y visibilidad.</t>
        </is>
      </c>
      <c r="F16" s="34" t="inlineStr">
        <is>
          <t>Al menos un empleado de control de accesos</t>
        </is>
      </c>
      <c r="G16" s="34" t="inlineStr">
        <is>
          <t>S08</t>
        </is>
      </c>
      <c r="H16" s="34" t="n">
        <v>13</v>
      </c>
      <c r="I16" s="34" t="n">
        <v>5</v>
      </c>
      <c r="J16" s="34" t="n">
        <v>0</v>
      </c>
      <c r="K16" s="34" t="n">
        <v>8</v>
      </c>
      <c r="L16" s="34">
        <f>'ESC-12'!J3</f>
        <v/>
      </c>
      <c r="M16" s="34">
        <f>'ESC-12'!J4</f>
        <v/>
      </c>
      <c r="N16" s="35">
        <f>'ESC-12'!J5</f>
        <v/>
      </c>
      <c r="O16" s="34">
        <f>IF(H16=0,"Por definir",IF(N16=1,"✅ 100%",IF(L16=0,"Sin probar","En ciclo")))</f>
        <v/>
      </c>
      <c r="P16" s="36" t="n"/>
      <c r="Q16" s="34">
        <f>COUNTIFS(Hallazgos!$B:$B,A16,Hallazgos!$M:$M,"&lt;&gt;Cerrado",Hallazgos!$A:$A,"&lt;&gt;")</f>
        <v/>
      </c>
      <c r="R16" s="34" t="n"/>
    </row>
    <row r="17" ht="35.05" customHeight="1" s="29">
      <c r="A17" s="33" t="inlineStr">
        <is>
          <t>ESC-13</t>
        </is>
      </c>
      <c r="B17" s="34" t="inlineStr">
        <is>
          <t>Validar que no se puedan cancelar reservaciones</t>
        </is>
      </c>
      <c r="C17" s="34" t="inlineStr">
        <is>
          <t>Escenario 13</t>
        </is>
      </c>
      <c r="D17" s="34" t="inlineStr">
        <is>
          <t>Asignaciones</t>
        </is>
      </c>
      <c r="E17" s="34" t="inlineStr">
        <is>
          <t>Validar las reglas de cancelación de confirmaciones: pedido/detalle, 72 horas y cambio de horario con aviso.</t>
        </is>
      </c>
      <c r="F17" s="34" t="inlineStr">
        <is>
          <t>Varios empleados de seguridad con acceso al portal</t>
        </is>
      </c>
      <c r="G17" s="34" t="inlineStr">
        <is>
          <t>S09</t>
        </is>
      </c>
      <c r="H17" s="34" t="n">
        <v>29</v>
      </c>
      <c r="I17" s="34" t="n">
        <v>0</v>
      </c>
      <c r="J17" s="34" t="n">
        <v>0</v>
      </c>
      <c r="K17" s="34" t="n">
        <v>29</v>
      </c>
      <c r="L17" s="34">
        <f>'ESC-13'!J3</f>
        <v/>
      </c>
      <c r="M17" s="34">
        <f>'ESC-13'!J4</f>
        <v/>
      </c>
      <c r="N17" s="35">
        <f>'ESC-13'!J5</f>
        <v/>
      </c>
      <c r="O17" s="34">
        <f>IF(H17=0,"Por definir",IF(N17=1,"✅ 100%",IF(L17=0,"Sin probar","En ciclo")))</f>
        <v/>
      </c>
      <c r="P17" s="36" t="n"/>
      <c r="Q17" s="34">
        <f>COUNTIFS(Hallazgos!$B:$B,A17,Hallazgos!$M:$M,"&lt;&gt;Cerrado",Hallazgos!$A:$A,"&lt;&gt;")</f>
        <v/>
      </c>
      <c r="R17" s="37" t="inlineStr">
        <is>
          <t>Nota: se repetirá cambiando lugar de cita y turnos.</t>
        </is>
      </c>
    </row>
    <row r="18" ht="23.85" customHeight="1" s="29">
      <c r="A18" s="33" t="inlineStr">
        <is>
          <t>ESC-14</t>
        </is>
      </c>
      <c r="B18" s="34" t="inlineStr">
        <is>
          <t>Pedido de matriciales para validar los sueldos</t>
        </is>
      </c>
      <c r="C18" s="34" t="inlineStr">
        <is>
          <t>Escenario 14</t>
        </is>
      </c>
      <c r="D18" s="34" t="inlineStr">
        <is>
          <t>Nómina</t>
        </is>
      </c>
      <c r="E18" s="34" t="inlineStr">
        <is>
          <t>Validar el sueldo matricial en el portal del empleado (Saldos / eventos por procesar).</t>
        </is>
      </c>
      <c r="F18" s="34" t="inlineStr">
        <is>
          <t>Empleado con puesto Asistente Operador - IN</t>
        </is>
      </c>
      <c r="G18" s="34" t="inlineStr">
        <is>
          <t>S12</t>
        </is>
      </c>
      <c r="H18" s="34" t="n">
        <v>10</v>
      </c>
      <c r="I18" s="34" t="n">
        <v>5</v>
      </c>
      <c r="J18" s="34" t="n">
        <v>0</v>
      </c>
      <c r="K18" s="34" t="n">
        <v>5</v>
      </c>
      <c r="L18" s="34">
        <f>'ESC-14'!J3</f>
        <v/>
      </c>
      <c r="M18" s="34">
        <f>'ESC-14'!J4</f>
        <v/>
      </c>
      <c r="N18" s="35">
        <f>'ESC-14'!J5</f>
        <v/>
      </c>
      <c r="O18" s="34">
        <f>IF(H18=0,"Por definir",IF(N18=1,"✅ 100%",IF(L18=0,"Sin probar","En ciclo")))</f>
        <v/>
      </c>
      <c r="P18" s="36" t="n"/>
      <c r="Q18" s="34">
        <f>COUNTIFS(Hallazgos!$B:$B,A18,Hallazgos!$M:$M,"&lt;&gt;Cerrado",Hallazgos!$A:$A,"&lt;&gt;")</f>
        <v/>
      </c>
      <c r="R18" s="34" t="n"/>
    </row>
    <row r="19" ht="23.85" customHeight="1" s="29">
      <c r="A19" s="33" t="inlineStr">
        <is>
          <t>ESC-15</t>
        </is>
      </c>
      <c r="B19" s="34" t="inlineStr">
        <is>
          <t>Cancelación de asignación forzada</t>
        </is>
      </c>
      <c r="C19" s="34" t="inlineStr">
        <is>
          <t>Escenario 15</t>
        </is>
      </c>
      <c r="D19" s="34" t="inlineStr">
        <is>
          <t>Asignaciones</t>
        </is>
      </c>
      <c r="E19" s="34" t="inlineStr">
        <is>
          <t>Validar que el empleado no pueda cancelar una asignación forzada.</t>
        </is>
      </c>
      <c r="F19" s="34" t="inlineStr">
        <is>
          <t>—</t>
        </is>
      </c>
      <c r="G19" s="34" t="inlineStr">
        <is>
          <t>S08</t>
        </is>
      </c>
      <c r="H19" s="34" t="n">
        <v>8</v>
      </c>
      <c r="I19" s="34" t="n">
        <v>0</v>
      </c>
      <c r="J19" s="34" t="n">
        <v>0</v>
      </c>
      <c r="K19" s="34" t="n">
        <v>8</v>
      </c>
      <c r="L19" s="34">
        <f>'ESC-15'!J3</f>
        <v/>
      </c>
      <c r="M19" s="34">
        <f>'ESC-15'!J4</f>
        <v/>
      </c>
      <c r="N19" s="35">
        <f>'ESC-15'!J5</f>
        <v/>
      </c>
      <c r="O19" s="34">
        <f>IF(H19=0,"Por definir",IF(N19=1,"✅ 100%",IF(L19=0,"Sin probar","En ciclo")))</f>
        <v/>
      </c>
      <c r="P19" s="36" t="n"/>
      <c r="Q19" s="34">
        <f>COUNTIFS(Hallazgos!$B:$B,A19,Hallazgos!$M:$M,"&lt;&gt;Cerrado",Hallazgos!$A:$A,"&lt;&gt;")</f>
        <v/>
      </c>
      <c r="R19" s="34" t="n"/>
    </row>
    <row r="20" ht="23.85" customHeight="1" s="29">
      <c r="A20" s="33" t="inlineStr">
        <is>
          <t>ESC-16</t>
        </is>
      </c>
      <c r="B20" s="34" t="inlineStr">
        <is>
          <t>Disminución de personal solicitado + Certeza valor</t>
        </is>
      </c>
      <c r="C20" s="34" t="inlineStr">
        <is>
          <t>Escenario 16</t>
        </is>
      </c>
      <c r="D20" s="34" t="inlineStr">
        <is>
          <t>Asignaciones</t>
        </is>
      </c>
      <c r="E20" s="34" t="inlineStr">
        <is>
          <t>Validar que al reducir personal se cancelen primero los de menor certeza valor y luego el último confirmado.</t>
        </is>
      </c>
      <c r="F20" s="34" t="inlineStr">
        <is>
          <t>Empleados ID 1, 1962, 2074, 2116, 2790, 2795</t>
        </is>
      </c>
      <c r="G20" s="34" t="inlineStr">
        <is>
          <t>S10</t>
        </is>
      </c>
      <c r="H20" s="34" t="n">
        <v>17</v>
      </c>
      <c r="I20" s="34" t="n">
        <v>7</v>
      </c>
      <c r="J20" s="34" t="n">
        <v>0</v>
      </c>
      <c r="K20" s="34" t="n">
        <v>10</v>
      </c>
      <c r="L20" s="34">
        <f>'ESC-16'!J3</f>
        <v/>
      </c>
      <c r="M20" s="34">
        <f>'ESC-16'!J4</f>
        <v/>
      </c>
      <c r="N20" s="35">
        <f>'ESC-16'!J5</f>
        <v/>
      </c>
      <c r="O20" s="34">
        <f>IF(H20=0,"Por definir",IF(N20=1,"✅ 100%",IF(L20=0,"Sin probar","En ciclo")))</f>
        <v/>
      </c>
      <c r="P20" s="36" t="n"/>
      <c r="Q20" s="34">
        <f>COUNTIFS(Hallazgos!$B:$B,A20,Hallazgos!$M:$M,"&lt;&gt;Cerrado",Hallazgos!$A:$A,"&lt;&gt;")</f>
        <v/>
      </c>
      <c r="R20" s="34" t="n"/>
    </row>
    <row r="21" ht="23.85" customHeight="1" s="29">
      <c r="A21" s="33" t="inlineStr">
        <is>
          <t>ESC-17A</t>
        </is>
      </c>
      <c r="B21" s="34" t="inlineStr">
        <is>
          <t>Prorrateo (PENDIENTE TIGRE)</t>
        </is>
      </c>
      <c r="C21" s="34" t="inlineStr">
        <is>
          <t>Escenario 17 (numeración duplicada)</t>
        </is>
      </c>
      <c r="D21" s="34" t="inlineStr">
        <is>
          <t>Nómina</t>
        </is>
      </c>
      <c r="E21" s="34" t="inlineStr">
        <is>
          <t>Prorrateo (pendiente TIGRE).</t>
        </is>
      </c>
      <c r="F21" s="34" t="inlineStr">
        <is>
          <t>—</t>
        </is>
      </c>
      <c r="G21" s="34" t="inlineStr">
        <is>
          <t>S12</t>
        </is>
      </c>
      <c r="H21" s="34" t="n">
        <v>10</v>
      </c>
      <c r="I21" s="34" t="n">
        <v>0</v>
      </c>
      <c r="J21" s="34" t="n">
        <v>0</v>
      </c>
      <c r="K21" s="34" t="n">
        <v>10</v>
      </c>
      <c r="L21" s="34">
        <f>'ESC-17A'!J3</f>
        <v/>
      </c>
      <c r="M21" s="34">
        <f>'ESC-17A'!J4</f>
        <v/>
      </c>
      <c r="N21" s="35">
        <f>'ESC-17A'!J5</f>
        <v/>
      </c>
      <c r="O21" s="34">
        <f>IF(H21=0,"Por definir",IF(N21=1,"✅ 100%",IF(L21=0,"Sin probar","En ciclo")))</f>
        <v/>
      </c>
      <c r="P21" s="36" t="n"/>
      <c r="Q21" s="34">
        <f>COUNTIFS(Hallazgos!$B:$B,A21,Hallazgos!$M:$M,"&lt;&gt;Cerrado",Hallazgos!$A:$A,"&lt;&gt;")</f>
        <v/>
      </c>
      <c r="R21" s="37" t="inlineStr">
        <is>
          <t>Contenido idéntico a ESC-14. Confirmar si es duplicado o falta definir los pasos.</t>
        </is>
      </c>
    </row>
    <row r="22" ht="23.85" customHeight="1" s="29">
      <c r="A22" s="33" t="inlineStr">
        <is>
          <t>ESC-17B</t>
        </is>
      </c>
      <c r="B22" s="34" t="inlineStr">
        <is>
          <t>Pedido con 0.25 Turnos</t>
        </is>
      </c>
      <c r="C22" s="34" t="inlineStr">
        <is>
          <t>Escenario 17 (numeración duplicada)</t>
        </is>
      </c>
      <c r="D22" s="34" t="inlineStr">
        <is>
          <t>Pedidos / Nómina</t>
        </is>
      </c>
      <c r="E22" s="34" t="inlineStr">
        <is>
          <t>Validar turnos fraccionados (0.25): costo de nómina y fecha fin calculada.</t>
        </is>
      </c>
      <c r="F22" s="34" t="inlineStr">
        <is>
          <t>—</t>
        </is>
      </c>
      <c r="G22" s="34" t="inlineStr">
        <is>
          <t>S06</t>
        </is>
      </c>
      <c r="H22" s="34" t="n">
        <v>7</v>
      </c>
      <c r="I22" s="34" t="n">
        <v>5</v>
      </c>
      <c r="J22" s="34" t="n">
        <v>2</v>
      </c>
      <c r="K22" s="34" t="n">
        <v>0</v>
      </c>
      <c r="L22" s="34">
        <f>'ESC-17B'!J3</f>
        <v/>
      </c>
      <c r="M22" s="34">
        <f>'ESC-17B'!J4</f>
        <v/>
      </c>
      <c r="N22" s="35">
        <f>'ESC-17B'!J5</f>
        <v/>
      </c>
      <c r="O22" s="34">
        <f>IF(H22=0,"Por definir",IF(N22=1,"✅ 100%",IF(L22=0,"Sin probar","En ciclo")))</f>
        <v/>
      </c>
      <c r="P22" s="36" t="n"/>
      <c r="Q22" s="34">
        <f>COUNTIFS(Hallazgos!$B:$B,A22,Hallazgos!$M:$M,"&lt;&gt;Cerrado",Hallazgos!$A:$A,"&lt;&gt;")</f>
        <v/>
      </c>
      <c r="R22" s="34" t="n"/>
    </row>
    <row r="23" ht="23.85" customHeight="1" s="29">
      <c r="A23" s="33" t="inlineStr">
        <is>
          <t>ESC-18</t>
        </is>
      </c>
      <c r="B23" s="34" t="inlineStr">
        <is>
          <t>Lista Negra</t>
        </is>
      </c>
      <c r="C23" s="34" t="inlineStr">
        <is>
          <t>Escenario 18</t>
        </is>
      </c>
      <c r="D23" s="34" t="inlineStr">
        <is>
          <t>Asignaciones / Seguridad</t>
        </is>
      </c>
      <c r="E23" s="34" t="inlineStr">
        <is>
          <t>Validar la lista negra: permisos de administración y bloqueo del empleado vetado por inmueble.</t>
        </is>
      </c>
      <c r="F23" s="34" t="inlineStr">
        <is>
          <t>Usuario con accesos (Arturo Pérez)</t>
        </is>
      </c>
      <c r="G23" s="34" t="inlineStr">
        <is>
          <t>S10</t>
        </is>
      </c>
      <c r="H23" s="34" t="n">
        <v>14</v>
      </c>
      <c r="I23" s="34" t="n">
        <v>0</v>
      </c>
      <c r="J23" s="34" t="n">
        <v>0</v>
      </c>
      <c r="K23" s="34" t="n">
        <v>14</v>
      </c>
      <c r="L23" s="34">
        <f>'ESC-18'!J3</f>
        <v/>
      </c>
      <c r="M23" s="34">
        <f>'ESC-18'!J4</f>
        <v/>
      </c>
      <c r="N23" s="35">
        <f>'ESC-18'!J5</f>
        <v/>
      </c>
      <c r="O23" s="34">
        <f>IF(H23=0,"Por definir",IF(N23=1,"✅ 100%",IF(L23=0,"Sin probar","En ciclo")))</f>
        <v/>
      </c>
      <c r="P23" s="36" t="n"/>
      <c r="Q23" s="34">
        <f>COUNTIFS(Hallazgos!$B:$B,A23,Hallazgos!$M:$M,"&lt;&gt;Cerrado",Hallazgos!$A:$A,"&lt;&gt;")</f>
        <v/>
      </c>
      <c r="R23" s="34" t="n"/>
    </row>
    <row r="24" ht="23.85" customHeight="1" s="29">
      <c r="A24" s="33" t="inlineStr">
        <is>
          <t>ESC-19</t>
        </is>
      </c>
      <c r="B24" s="34" t="inlineStr">
        <is>
          <t>Crear pedidos de fechas pasadas</t>
        </is>
      </c>
      <c r="C24" s="34" t="inlineStr">
        <is>
          <t>Escenario 19</t>
        </is>
      </c>
      <c r="D24" s="34" t="inlineStr">
        <is>
          <t>Pedidos / Asignaciones</t>
        </is>
      </c>
      <c r="E24" s="34" t="inlineStr">
        <is>
          <t>Validar pedidos con fechas pasadas y el bloqueo por conflicto de asignación.</t>
        </is>
      </c>
      <c r="F24" s="34" t="inlineStr">
        <is>
          <t>—</t>
        </is>
      </c>
      <c r="G24" s="34" t="inlineStr">
        <is>
          <t>S06</t>
        </is>
      </c>
      <c r="H24" s="34" t="n">
        <v>10</v>
      </c>
      <c r="I24" s="34" t="n">
        <v>4</v>
      </c>
      <c r="J24" s="34" t="n">
        <v>6</v>
      </c>
      <c r="K24" s="34" t="n">
        <v>0</v>
      </c>
      <c r="L24" s="34">
        <f>'ESC-19'!J3</f>
        <v/>
      </c>
      <c r="M24" s="34">
        <f>'ESC-19'!J4</f>
        <v/>
      </c>
      <c r="N24" s="35">
        <f>'ESC-19'!J5</f>
        <v/>
      </c>
      <c r="O24" s="34">
        <f>IF(H24=0,"Por definir",IF(N24=1,"✅ 100%",IF(L24=0,"Sin probar","En ciclo")))</f>
        <v/>
      </c>
      <c r="P24" s="36" t="n"/>
      <c r="Q24" s="34">
        <f>COUNTIFS(Hallazgos!$B:$B,A24,Hallazgos!$M:$M,"&lt;&gt;Cerrado",Hallazgos!$A:$A,"&lt;&gt;")</f>
        <v/>
      </c>
      <c r="R24" s="34" t="n"/>
    </row>
    <row r="25" ht="15" customHeight="1" s="29">
      <c r="A25" s="33" t="inlineStr">
        <is>
          <t>ESC-20</t>
        </is>
      </c>
      <c r="B25" s="34" t="inlineStr">
        <is>
          <t>Relación de contacto-cliente</t>
        </is>
      </c>
      <c r="C25" s="34" t="inlineStr">
        <is>
          <t>Escenario 20</t>
        </is>
      </c>
      <c r="D25" s="34" t="inlineStr">
        <is>
          <t>Pedidos</t>
        </is>
      </c>
      <c r="E25" s="34" t="inlineStr">
        <is>
          <t>Validar el alta de contactos y su relación con el cliente.</t>
        </is>
      </c>
      <c r="F25" s="34" t="inlineStr">
        <is>
          <t>Usuario de Axel</t>
        </is>
      </c>
      <c r="G25" s="34" t="inlineStr">
        <is>
          <t>S06</t>
        </is>
      </c>
      <c r="H25" s="34" t="n">
        <v>8</v>
      </c>
      <c r="I25" s="34" t="n">
        <v>0</v>
      </c>
      <c r="J25" s="34" t="n">
        <v>0</v>
      </c>
      <c r="K25" s="34" t="n">
        <v>8</v>
      </c>
      <c r="L25" s="34">
        <f>'ESC-20'!J3</f>
        <v/>
      </c>
      <c r="M25" s="34">
        <f>'ESC-20'!J4</f>
        <v/>
      </c>
      <c r="N25" s="35">
        <f>'ESC-20'!J5</f>
        <v/>
      </c>
      <c r="O25" s="34">
        <f>IF(H25=0,"Por definir",IF(N25=1,"✅ 100%",IF(L25=0,"Sin probar","En ciclo")))</f>
        <v/>
      </c>
      <c r="P25" s="36" t="n"/>
      <c r="Q25" s="34">
        <f>COUNTIFS(Hallazgos!$B:$B,A25,Hallazgos!$M:$M,"&lt;&gt;Cerrado",Hallazgos!$A:$A,"&lt;&gt;")</f>
        <v/>
      </c>
      <c r="R25" s="34" t="n"/>
    </row>
    <row r="26" ht="23.85" customHeight="1" s="29">
      <c r="A26" s="33" t="inlineStr">
        <is>
          <t>ESC-21</t>
        </is>
      </c>
      <c r="B26" s="34" t="inlineStr">
        <is>
          <t>Validar funcionalidad pantalla interna de reservaciones (Igual a la actual)</t>
        </is>
      </c>
      <c r="C26" s="34" t="inlineStr">
        <is>
          <t>Escenario 21</t>
        </is>
      </c>
      <c r="D26" s="34" t="inlineStr">
        <is>
          <t>Reservaciones</t>
        </is>
      </c>
      <c r="E26" s="34" t="inlineStr">
        <is>
          <t>Validar la pantalla interna de reservaciones con paridad funcional respecto al legado.</t>
        </is>
      </c>
      <c r="F26" s="34" t="inlineStr">
        <is>
          <t>—</t>
        </is>
      </c>
      <c r="G26" s="34" t="inlineStr">
        <is>
          <t>S11</t>
        </is>
      </c>
      <c r="H26" s="34" t="n">
        <v>22</v>
      </c>
      <c r="I26" s="34" t="n">
        <v>0</v>
      </c>
      <c r="J26" s="34" t="n">
        <v>0</v>
      </c>
      <c r="K26" s="34" t="n">
        <v>22</v>
      </c>
      <c r="L26" s="34">
        <f>'ESC-21'!J3</f>
        <v/>
      </c>
      <c r="M26" s="34">
        <f>'ESC-21'!J4</f>
        <v/>
      </c>
      <c r="N26" s="35">
        <f>'ESC-21'!J5</f>
        <v/>
      </c>
      <c r="O26" s="34">
        <f>IF(H26=0,"Por definir",IF(N26=1,"✅ 100%",IF(L26=0,"Sin probar","En ciclo")))</f>
        <v/>
      </c>
      <c r="P26" s="36" t="n"/>
      <c r="Q26" s="34">
        <f>COUNTIFS(Hallazgos!$B:$B,A26,Hallazgos!$M:$M,"&lt;&gt;Cerrado",Hallazgos!$A:$A,"&lt;&gt;")</f>
        <v/>
      </c>
      <c r="R26" s="37" t="inlineStr">
        <is>
          <t>El árbol esperado está como imagen en el archivo original.</t>
        </is>
      </c>
    </row>
    <row r="27" ht="35.05" customHeight="1" s="29">
      <c r="A27" s="33" t="inlineStr">
        <is>
          <t>ESC-22</t>
        </is>
      </c>
      <c r="B27" s="34" t="inlineStr">
        <is>
          <t>Captura de lista manual de asistencia</t>
        </is>
      </c>
      <c r="C27" s="34" t="inlineStr">
        <is>
          <t>Escenario 22</t>
        </is>
      </c>
      <c r="D27" s="34" t="inlineStr">
        <is>
          <t>Nómina</t>
        </is>
      </c>
      <c r="E27" s="34" t="inlineStr">
        <is>
          <t>Validar la lista manual de asistencia y el cálculo de pagos honorarios (asistencia, falta, retardo) con valores exactos.</t>
        </is>
      </c>
      <c r="F27" s="34" t="inlineStr">
        <is>
          <t>Pedido pasado con 10 empleados asignados (forzada)</t>
        </is>
      </c>
      <c r="G27" s="34" t="inlineStr">
        <is>
          <t>S13</t>
        </is>
      </c>
      <c r="H27" s="34" t="n">
        <v>67</v>
      </c>
      <c r="I27" s="34" t="n">
        <v>2</v>
      </c>
      <c r="J27" s="34" t="n">
        <v>0</v>
      </c>
      <c r="K27" s="34" t="n">
        <v>65</v>
      </c>
      <c r="L27" s="34">
        <f>'ESC-22'!J3</f>
        <v/>
      </c>
      <c r="M27" s="34">
        <f>'ESC-22'!J4</f>
        <v/>
      </c>
      <c r="N27" s="35">
        <f>'ESC-22'!J5</f>
        <v/>
      </c>
      <c r="O27" s="34">
        <f>IF(H27=0,"Por definir",IF(N27=1,"✅ 100%",IF(L27=0,"Sin probar","En ciclo")))</f>
        <v/>
      </c>
      <c r="P27" s="36" t="n"/>
      <c r="Q27" s="34">
        <f>COUNTIFS(Hallazgos!$B:$B,A27,Hallazgos!$M:$M,"&lt;&gt;Cerrado",Hallazgos!$A:$A,"&lt;&gt;")</f>
        <v/>
      </c>
      <c r="R27" s="37" t="inlineStr">
        <is>
          <t>Combinaciones con 'Penalización Retardo/Falta' mencionadas pero sin pasos.</t>
        </is>
      </c>
    </row>
    <row r="28" ht="23.85" customHeight="1" s="29">
      <c r="A28" s="33" t="inlineStr">
        <is>
          <t>ESC-23</t>
        </is>
      </c>
      <c r="B28" s="34" t="inlineStr">
        <is>
          <t>Extras</t>
        </is>
      </c>
      <c r="C28" s="34" t="inlineStr">
        <is>
          <t>Escenario 23</t>
        </is>
      </c>
      <c r="D28" s="34" t="inlineStr">
        <is>
          <t>Nómina</t>
        </is>
      </c>
      <c r="E28" s="34" t="inlineStr">
        <is>
          <t>Validar extras: captura, autorización por perfil, aprobación masiva e impacto en el pago.</t>
        </is>
      </c>
      <c r="F28" s="34" t="inlineStr">
        <is>
          <t>ESC-22</t>
        </is>
      </c>
      <c r="G28" s="34" t="inlineStr">
        <is>
          <t>S13</t>
        </is>
      </c>
      <c r="H28" s="34" t="n">
        <v>17</v>
      </c>
      <c r="I28" s="34" t="n">
        <v>0</v>
      </c>
      <c r="J28" s="34" t="n">
        <v>0</v>
      </c>
      <c r="K28" s="34" t="n">
        <v>17</v>
      </c>
      <c r="L28" s="34">
        <f>'ESC-23'!J3</f>
        <v/>
      </c>
      <c r="M28" s="34">
        <f>'ESC-23'!J4</f>
        <v/>
      </c>
      <c r="N28" s="35">
        <f>'ESC-23'!J5</f>
        <v/>
      </c>
      <c r="O28" s="34">
        <f>IF(H28=0,"Por definir",IF(N28=1,"✅ 100%",IF(L28=0,"Sin probar","En ciclo")))</f>
        <v/>
      </c>
      <c r="P28" s="36" t="n"/>
      <c r="Q28" s="34">
        <f>COUNTIFS(Hallazgos!$B:$B,A28,Hallazgos!$M:$M,"&lt;&gt;Cerrado",Hallazgos!$A:$A,"&lt;&gt;")</f>
        <v/>
      </c>
      <c r="R28" s="34" t="n"/>
    </row>
    <row r="29" ht="23.85" customHeight="1" s="29">
      <c r="A29" s="33" t="inlineStr">
        <is>
          <t>ESC-24</t>
        </is>
      </c>
      <c r="B29" s="34" t="inlineStr">
        <is>
          <t>Dispersión de nómina y Lista de Precauciones</t>
        </is>
      </c>
      <c r="C29" s="34" t="inlineStr">
        <is>
          <t>Escenario 24</t>
        </is>
      </c>
      <c r="D29" s="34" t="inlineStr">
        <is>
          <t>Nómina</t>
        </is>
      </c>
      <c r="E29" s="34" t="inlineStr">
        <is>
          <t>Validar el cierre de nómina: lista de precauciones y archivo de dispersión.</t>
        </is>
      </c>
      <c r="F29" s="34" t="inlineStr">
        <is>
          <t>ESC-22, ESC-23</t>
        </is>
      </c>
      <c r="G29" s="34" t="inlineStr">
        <is>
          <t>S13</t>
        </is>
      </c>
      <c r="H29" s="34" t="n">
        <v>10</v>
      </c>
      <c r="I29" s="34" t="n">
        <v>0</v>
      </c>
      <c r="J29" s="34" t="n">
        <v>0</v>
      </c>
      <c r="K29" s="34" t="n">
        <v>10</v>
      </c>
      <c r="L29" s="34">
        <f>'ESC-24'!J3</f>
        <v/>
      </c>
      <c r="M29" s="34">
        <f>'ESC-24'!J4</f>
        <v/>
      </c>
      <c r="N29" s="35">
        <f>'ESC-24'!J5</f>
        <v/>
      </c>
      <c r="O29" s="34">
        <f>IF(H29=0,"Por definir",IF(N29=1,"✅ 100%",IF(L29=0,"Sin probar","En ciclo")))</f>
        <v/>
      </c>
      <c r="P29" s="36" t="n"/>
      <c r="Q29" s="34">
        <f>COUNTIFS(Hallazgos!$B:$B,A29,Hallazgos!$M:$M,"&lt;&gt;Cerrado",Hallazgos!$A:$A,"&lt;&gt;")</f>
        <v/>
      </c>
      <c r="R29" s="34" t="n"/>
    </row>
    <row r="30" ht="23.85" customHeight="1" s="29">
      <c r="A30" s="33" t="inlineStr">
        <is>
          <t>ESC-25</t>
        </is>
      </c>
      <c r="B30" s="34" t="inlineStr">
        <is>
          <t>Asignación de folio para empleados con Honorarios Normales</t>
        </is>
      </c>
      <c r="C30" s="34" t="inlineStr">
        <is>
          <t>Escenario 25</t>
        </is>
      </c>
      <c r="D30" s="34" t="inlineStr">
        <is>
          <t>Nómina</t>
        </is>
      </c>
      <c r="E30" s="34" t="inlineStr">
        <is>
          <t>Validar la asignación de folio fiscal para honorarios normales y su efecto en el importe.</t>
        </is>
      </c>
      <c r="F30" s="34" t="inlineStr">
        <is>
          <t>—</t>
        </is>
      </c>
      <c r="G30" s="34" t="inlineStr">
        <is>
          <t>S14</t>
        </is>
      </c>
      <c r="H30" s="34" t="n">
        <v>17</v>
      </c>
      <c r="I30" s="34" t="n">
        <v>0</v>
      </c>
      <c r="J30" s="34" t="n">
        <v>0</v>
      </c>
      <c r="K30" s="34" t="n">
        <v>17</v>
      </c>
      <c r="L30" s="34">
        <f>'ESC-25'!J3</f>
        <v/>
      </c>
      <c r="M30" s="34">
        <f>'ESC-25'!J4</f>
        <v/>
      </c>
      <c r="N30" s="35">
        <f>'ESC-25'!J5</f>
        <v/>
      </c>
      <c r="O30" s="34">
        <f>IF(H30=0,"Por definir",IF(N30=1,"✅ 100%",IF(L30=0,"Sin probar","En ciclo")))</f>
        <v/>
      </c>
      <c r="P30" s="36" t="n"/>
      <c r="Q30" s="34">
        <f>COUNTIFS(Hallazgos!$B:$B,A30,Hallazgos!$M:$M,"&lt;&gt;Cerrado",Hallazgos!$A:$A,"&lt;&gt;")</f>
        <v/>
      </c>
      <c r="R30" s="34" t="n"/>
    </row>
    <row r="31" ht="23.85" customHeight="1" s="29">
      <c r="A31" s="33" t="inlineStr">
        <is>
          <t>ESC-26</t>
        </is>
      </c>
      <c r="B31" s="34" t="inlineStr">
        <is>
          <t>Pedidos de runners para validar los sueldos</t>
        </is>
      </c>
      <c r="C31" s="34" t="inlineStr">
        <is>
          <t>Escenario 26</t>
        </is>
      </c>
      <c r="D31" s="34" t="inlineStr">
        <is>
          <t>Nómina</t>
        </is>
      </c>
      <c r="E31" s="34" t="inlineStr">
        <is>
          <t>Validar el sueldo de runners por fase y sus impuestos (IVA, RIVA, RISR).</t>
        </is>
      </c>
      <c r="F31" s="34" t="inlineStr">
        <is>
          <t>—</t>
        </is>
      </c>
      <c r="G31" s="34" t="inlineStr">
        <is>
          <t>S14</t>
        </is>
      </c>
      <c r="H31" s="34" t="n">
        <v>34</v>
      </c>
      <c r="I31" s="34" t="n">
        <v>0</v>
      </c>
      <c r="J31" s="34" t="n">
        <v>0</v>
      </c>
      <c r="K31" s="34" t="n">
        <v>34</v>
      </c>
      <c r="L31" s="34">
        <f>'ESC-26'!J3</f>
        <v/>
      </c>
      <c r="M31" s="34">
        <f>'ESC-26'!J4</f>
        <v/>
      </c>
      <c r="N31" s="35">
        <f>'ESC-26'!J5</f>
        <v/>
      </c>
      <c r="O31" s="34">
        <f>IF(H31=0,"Por definir",IF(N31=1,"✅ 100%",IF(L31=0,"Sin probar","En ciclo")))</f>
        <v/>
      </c>
      <c r="P31" s="36" t="n"/>
      <c r="Q31" s="34">
        <f>COUNTIFS(Hallazgos!$B:$B,A31,Hallazgos!$M:$M,"&lt;&gt;Cerrado",Hallazgos!$A:$A,"&lt;&gt;")</f>
        <v/>
      </c>
      <c r="R31" s="34" t="n"/>
    </row>
    <row r="32" ht="23.85" customHeight="1" s="29">
      <c r="A32" s="33" t="inlineStr">
        <is>
          <t>ESC-27</t>
        </is>
      </c>
      <c r="B32" s="34" t="inlineStr">
        <is>
          <t>Facturación</t>
        </is>
      </c>
      <c r="C32" s="34" t="inlineStr">
        <is>
          <t>Escenario 28 (numeración duplicada)</t>
        </is>
      </c>
      <c r="D32" s="34" t="inlineStr">
        <is>
          <t>Facturación</t>
        </is>
      </c>
      <c r="E32" s="34" t="inlineStr">
        <is>
          <t>Validar la generación de facturas: folios, partidas, agrupación de rubros y txt a SAP.</t>
        </is>
      </c>
      <c r="F32" s="34" t="inlineStr">
        <is>
          <t>ESC-22</t>
        </is>
      </c>
      <c r="G32" s="34" t="inlineStr">
        <is>
          <t>S15</t>
        </is>
      </c>
      <c r="H32" s="34" t="n">
        <v>16</v>
      </c>
      <c r="I32" s="34" t="n">
        <v>0</v>
      </c>
      <c r="J32" s="34" t="n">
        <v>0</v>
      </c>
      <c r="K32" s="34" t="n">
        <v>16</v>
      </c>
      <c r="L32" s="34">
        <f>'ESC-27'!J3</f>
        <v/>
      </c>
      <c r="M32" s="34">
        <f>'ESC-27'!J4</f>
        <v/>
      </c>
      <c r="N32" s="35">
        <f>'ESC-27'!J5</f>
        <v/>
      </c>
      <c r="O32" s="34">
        <f>IF(H32=0,"Por definir",IF(N32=1,"✅ 100%",IF(L32=0,"Sin probar","En ciclo")))</f>
        <v/>
      </c>
      <c r="P32" s="36" t="n"/>
      <c r="Q32" s="34">
        <f>COUNTIFS(Hallazgos!$B:$B,A32,Hallazgos!$M:$M,"&lt;&gt;Cerrado",Hallazgos!$A:$A,"&lt;&gt;")</f>
        <v/>
      </c>
      <c r="R32" s="37" t="inlineStr">
        <is>
          <t>La lista de campos del paso 6 está como imagen en el archivo original.</t>
        </is>
      </c>
    </row>
    <row r="33" ht="23.85" customHeight="1" s="29">
      <c r="A33" s="33" t="inlineStr">
        <is>
          <t>ESC-28</t>
        </is>
      </c>
      <c r="B33" s="34" t="inlineStr">
        <is>
          <t>Validar que en el txt sólo se generan facturas (Y no servicios internos)</t>
        </is>
      </c>
      <c r="C33" s="34" t="inlineStr">
        <is>
          <t>Escenario 28 (numeración duplicada)</t>
        </is>
      </c>
      <c r="D33" s="34" t="inlineStr">
        <is>
          <t>Facturación</t>
        </is>
      </c>
      <c r="E33" s="34" t="inlineStr">
        <is>
          <t>Validar que los servicios internos no generan txt ni consumen folio consecutivo.</t>
        </is>
      </c>
      <c r="F33" s="34" t="inlineStr">
        <is>
          <t>ESC-26</t>
        </is>
      </c>
      <c r="G33" s="34" t="inlineStr">
        <is>
          <t>S15</t>
        </is>
      </c>
      <c r="H33" s="34" t="n">
        <v>5</v>
      </c>
      <c r="I33" s="34" t="n">
        <v>0</v>
      </c>
      <c r="J33" s="34" t="n">
        <v>0</v>
      </c>
      <c r="K33" s="34" t="n">
        <v>5</v>
      </c>
      <c r="L33" s="34">
        <f>'ESC-28'!J3</f>
        <v/>
      </c>
      <c r="M33" s="34">
        <f>'ESC-28'!J4</f>
        <v/>
      </c>
      <c r="N33" s="35">
        <f>'ESC-28'!J5</f>
        <v/>
      </c>
      <c r="O33" s="34">
        <f>IF(H33=0,"Por definir",IF(N33=1,"✅ 100%",IF(L33=0,"Sin probar","En ciclo")))</f>
        <v/>
      </c>
      <c r="P33" s="36" t="n"/>
      <c r="Q33" s="34">
        <f>COUNTIFS(Hallazgos!$B:$B,A33,Hallazgos!$M:$M,"&lt;&gt;Cerrado",Hallazgos!$A:$A,"&lt;&gt;")</f>
        <v/>
      </c>
      <c r="R33" s="34" t="n"/>
    </row>
    <row r="34" ht="23.85" customHeight="1" s="29">
      <c r="A34" s="33" t="inlineStr">
        <is>
          <t>ESC-29</t>
        </is>
      </c>
      <c r="B34" s="34" t="inlineStr">
        <is>
          <t>Prorrateo de sueldos matriciales</t>
        </is>
      </c>
      <c r="C34" s="34" t="inlineStr">
        <is>
          <t>Escenario 29</t>
        </is>
      </c>
      <c r="D34" s="34" t="inlineStr">
        <is>
          <t>Nómina</t>
        </is>
      </c>
      <c r="E34" s="34" t="inlineStr">
        <is>
          <t>Validar el prorrateo de sueldo matricial entre varios detalles (100-50-50 repartido).</t>
        </is>
      </c>
      <c r="F34" s="34" t="inlineStr">
        <is>
          <t>—</t>
        </is>
      </c>
      <c r="G34" s="34" t="inlineStr">
        <is>
          <t>S12</t>
        </is>
      </c>
      <c r="H34" s="34" t="n">
        <v>8</v>
      </c>
      <c r="I34" s="34" t="n">
        <v>0</v>
      </c>
      <c r="J34" s="34" t="n">
        <v>0</v>
      </c>
      <c r="K34" s="34" t="n">
        <v>8</v>
      </c>
      <c r="L34" s="34">
        <f>'ESC-29'!J3</f>
        <v/>
      </c>
      <c r="M34" s="34">
        <f>'ESC-29'!J4</f>
        <v/>
      </c>
      <c r="N34" s="35">
        <f>'ESC-29'!J5</f>
        <v/>
      </c>
      <c r="O34" s="34">
        <f>IF(H34=0,"Por definir",IF(N34=1,"✅ 100%",IF(L34=0,"Sin probar","En ciclo")))</f>
        <v/>
      </c>
      <c r="P34" s="36" t="n"/>
      <c r="Q34" s="34">
        <f>COUNTIFS(Hallazgos!$B:$B,A34,Hallazgos!$M:$M,"&lt;&gt;Cerrado",Hallazgos!$A:$A,"&lt;&gt;")</f>
        <v/>
      </c>
      <c r="R34" s="34" t="n"/>
    </row>
    <row r="35" ht="23.85" customHeight="1" s="29">
      <c r="A35" s="33" t="inlineStr">
        <is>
          <t>ESC-30</t>
        </is>
      </c>
      <c r="B35" s="34" t="inlineStr">
        <is>
          <t>Validación de Visibilidad por sucursal/puesto</t>
        </is>
      </c>
      <c r="C35" s="34" t="inlineStr">
        <is>
          <t>— (nota al pie)</t>
        </is>
      </c>
      <c r="D35" s="34" t="inlineStr">
        <is>
          <t>Reservaciones</t>
        </is>
      </c>
      <c r="E35" s="34" t="inlineStr">
        <is>
          <t>Validación de visibilidad por sucursal/puesto.</t>
        </is>
      </c>
      <c r="F35" s="34" t="inlineStr">
        <is>
          <t>—</t>
        </is>
      </c>
      <c r="G35" s="34" t="inlineStr">
        <is>
          <t>S11</t>
        </is>
      </c>
      <c r="H35" s="34" t="n">
        <v>0</v>
      </c>
      <c r="I35" s="34" t="n">
        <v>0</v>
      </c>
      <c r="J35" s="34" t="n">
        <v>0</v>
      </c>
      <c r="K35" s="34" t="n">
        <v>0</v>
      </c>
      <c r="L35" s="34">
        <f>'ESC-30'!J3</f>
        <v/>
      </c>
      <c r="M35" s="34">
        <f>'ESC-30'!J4</f>
        <v/>
      </c>
      <c r="N35" s="35">
        <f>'ESC-30'!J5</f>
        <v/>
      </c>
      <c r="O35" s="34">
        <f>IF(H35=0,"Por definir",IF(N35=1,"✅ 100%",IF(L35=0,"Sin probar","En ciclo")))</f>
        <v/>
      </c>
      <c r="P35" s="36" t="n"/>
      <c r="Q35" s="34">
        <f>COUNTIFS(Hallazgos!$B:$B,A35,Hallazgos!$M:$M,"&lt;&gt;Cerrado",Hallazgos!$A:$A,"&lt;&gt;")</f>
        <v/>
      </c>
      <c r="R35" s="37" t="inlineStr">
        <is>
          <t>Sin pasos en el archivo original.</t>
        </is>
      </c>
    </row>
    <row r="36" ht="23.85" customHeight="1" s="29">
      <c r="A36" s="33" t="inlineStr">
        <is>
          <t>ESC-31</t>
        </is>
      </c>
      <c r="B36" s="34" t="inlineStr">
        <is>
          <t>Justificación de Faltas (Validar que el porcentaje de asistencia se modifica)</t>
        </is>
      </c>
      <c r="C36" s="34" t="inlineStr">
        <is>
          <t>— (nota al pie)</t>
        </is>
      </c>
      <c r="D36" s="34" t="inlineStr">
        <is>
          <t>Nómina</t>
        </is>
      </c>
      <c r="E36" s="34" t="inlineStr">
        <is>
          <t>Justificación de faltas (validar que el porcentaje de asistencia se modifica).</t>
        </is>
      </c>
      <c r="F36" s="34" t="inlineStr">
        <is>
          <t>—</t>
        </is>
      </c>
      <c r="G36" s="34" t="inlineStr">
        <is>
          <t>S13</t>
        </is>
      </c>
      <c r="H36" s="34" t="n">
        <v>0</v>
      </c>
      <c r="I36" s="34" t="n">
        <v>0</v>
      </c>
      <c r="J36" s="34" t="n">
        <v>0</v>
      </c>
      <c r="K36" s="34" t="n">
        <v>0</v>
      </c>
      <c r="L36" s="34">
        <f>'ESC-31'!J3</f>
        <v/>
      </c>
      <c r="M36" s="34">
        <f>'ESC-31'!J4</f>
        <v/>
      </c>
      <c r="N36" s="35">
        <f>'ESC-31'!J5</f>
        <v/>
      </c>
      <c r="O36" s="34">
        <f>IF(H36=0,"Por definir",IF(N36=1,"✅ 100%",IF(L36=0,"Sin probar","En ciclo")))</f>
        <v/>
      </c>
      <c r="P36" s="36" t="n"/>
      <c r="Q36" s="34">
        <f>COUNTIFS(Hallazgos!$B:$B,A36,Hallazgos!$M:$M,"&lt;&gt;Cerrado",Hallazgos!$A:$A,"&lt;&gt;")</f>
        <v/>
      </c>
      <c r="R36" s="37" t="inlineStr">
        <is>
          <t>Sin pasos en el archivo original.</t>
        </is>
      </c>
    </row>
    <row r="38" ht="15" customHeight="1" s="29">
      <c r="A38" s="38" t="inlineStr">
        <is>
          <t>TOTAL</t>
        </is>
      </c>
      <c r="H38" s="38">
        <f>SUM(H5:H36)</f>
        <v/>
      </c>
      <c r="I38" s="38">
        <f>SUM(I5:I36)</f>
        <v/>
      </c>
      <c r="J38" s="38">
        <f>SUM(J5:J36)</f>
        <v/>
      </c>
      <c r="K38" s="38">
        <f>SUM(K5:K36)</f>
        <v/>
      </c>
      <c r="L38" s="38">
        <f>SUM(L5:L36)</f>
        <v/>
      </c>
      <c r="M38" s="38">
        <f>SUM(M5:M36)</f>
        <v/>
      </c>
      <c r="N38" s="39">
        <f>IF(H38=0,0,M38/H38)</f>
        <v/>
      </c>
      <c r="Q38" s="28">
        <f>SUM(Q5:Q36)</f>
        <v/>
      </c>
    </row>
  </sheetData>
  <conditionalFormatting sqref="O5:O36">
    <cfRule type="expression" rank="0" priority="2" equalAverage="0" aboveAverage="0" dxfId="0" text="" percent="0" bottom="0">
      <formula>O5="✅ 100%"</formula>
    </cfRule>
    <cfRule type="expression" rank="0" priority="3" equalAverage="0" aboveAverage="0" dxfId="1" text="" percent="0" bottom="0">
      <formula>O5="En ciclo"</formula>
    </cfRule>
    <cfRule type="expression" rank="0" priority="4" equalAverage="0" aboveAverage="0" dxfId="2" text="" percent="0" bottom="0">
      <formula>O5="Por definir"</formula>
    </cfRule>
  </conditionalFormatting>
  <hyperlinks>
    <hyperlink xmlns:r="http://schemas.openxmlformats.org/officeDocument/2006/relationships" ref="A5" location="'ESC-01'!A1" display="ESC-01" r:id="rId1"/>
    <hyperlink xmlns:r="http://schemas.openxmlformats.org/officeDocument/2006/relationships" ref="A6" location="'ESC-02'!A1" display="ESC-02" r:id="rId2"/>
    <hyperlink xmlns:r="http://schemas.openxmlformats.org/officeDocument/2006/relationships" ref="A7" location="'ESC-03'!A1" display="ESC-03" r:id="rId3"/>
    <hyperlink xmlns:r="http://schemas.openxmlformats.org/officeDocument/2006/relationships" ref="A8" location="'ESC-04'!A1" display="ESC-04" r:id="rId4"/>
    <hyperlink xmlns:r="http://schemas.openxmlformats.org/officeDocument/2006/relationships" ref="A9" location="'ESC-05'!A1" display="ESC-05" r:id="rId5"/>
    <hyperlink xmlns:r="http://schemas.openxmlformats.org/officeDocument/2006/relationships" ref="A10" location="'ESC-06'!A1" display="ESC-06" r:id="rId6"/>
    <hyperlink xmlns:r="http://schemas.openxmlformats.org/officeDocument/2006/relationships" ref="A11" location="'ESC-07'!A1" display="ESC-07" r:id="rId7"/>
    <hyperlink xmlns:r="http://schemas.openxmlformats.org/officeDocument/2006/relationships" ref="A12" location="'ESC-08'!A1" display="ESC-08" r:id="rId8"/>
    <hyperlink xmlns:r="http://schemas.openxmlformats.org/officeDocument/2006/relationships" ref="A13" location="'ESC-09'!A1" display="ESC-09" r:id="rId9"/>
    <hyperlink xmlns:r="http://schemas.openxmlformats.org/officeDocument/2006/relationships" ref="A14" location="'ESC-10'!A1" display="ESC-10" r:id="rId10"/>
    <hyperlink xmlns:r="http://schemas.openxmlformats.org/officeDocument/2006/relationships" ref="A15" location="'ESC-11'!A1" display="ESC-11" r:id="rId11"/>
    <hyperlink xmlns:r="http://schemas.openxmlformats.org/officeDocument/2006/relationships" ref="A16" location="'ESC-12'!A1" display="ESC-12" r:id="rId12"/>
    <hyperlink xmlns:r="http://schemas.openxmlformats.org/officeDocument/2006/relationships" ref="A17" location="'ESC-13'!A1" display="ESC-13" r:id="rId13"/>
    <hyperlink xmlns:r="http://schemas.openxmlformats.org/officeDocument/2006/relationships" ref="A18" location="'ESC-14'!A1" display="ESC-14" r:id="rId14"/>
    <hyperlink xmlns:r="http://schemas.openxmlformats.org/officeDocument/2006/relationships" ref="A19" location="'ESC-15'!A1" display="ESC-15" r:id="rId15"/>
    <hyperlink xmlns:r="http://schemas.openxmlformats.org/officeDocument/2006/relationships" ref="A20" location="'ESC-16'!A1" display="ESC-16" r:id="rId16"/>
    <hyperlink xmlns:r="http://schemas.openxmlformats.org/officeDocument/2006/relationships" ref="A21" location="'ESC-17A'!A1" display="ESC-17A" r:id="rId17"/>
    <hyperlink xmlns:r="http://schemas.openxmlformats.org/officeDocument/2006/relationships" ref="A22" location="'ESC-17B'!A1" display="ESC-17B" r:id="rId18"/>
    <hyperlink xmlns:r="http://schemas.openxmlformats.org/officeDocument/2006/relationships" ref="A23" location="'ESC-18'!A1" display="ESC-18" r:id="rId19"/>
    <hyperlink xmlns:r="http://schemas.openxmlformats.org/officeDocument/2006/relationships" ref="A24" location="'ESC-19'!A1" display="ESC-19" r:id="rId20"/>
    <hyperlink xmlns:r="http://schemas.openxmlformats.org/officeDocument/2006/relationships" ref="A25" location="'ESC-20'!A1" display="ESC-20" r:id="rId21"/>
    <hyperlink xmlns:r="http://schemas.openxmlformats.org/officeDocument/2006/relationships" ref="A26" location="'ESC-21'!A1" display="ESC-21" r:id="rId22"/>
    <hyperlink xmlns:r="http://schemas.openxmlformats.org/officeDocument/2006/relationships" ref="A27" location="'ESC-22'!A1" display="ESC-22" r:id="rId23"/>
    <hyperlink xmlns:r="http://schemas.openxmlformats.org/officeDocument/2006/relationships" ref="A28" location="'ESC-23'!A1" display="ESC-23" r:id="rId24"/>
    <hyperlink xmlns:r="http://schemas.openxmlformats.org/officeDocument/2006/relationships" ref="A29" location="'ESC-24'!A1" display="ESC-24" r:id="rId25"/>
    <hyperlink xmlns:r="http://schemas.openxmlformats.org/officeDocument/2006/relationships" ref="A30" location="'ESC-25'!A1" display="ESC-25" r:id="rId26"/>
    <hyperlink xmlns:r="http://schemas.openxmlformats.org/officeDocument/2006/relationships" ref="A31" location="'ESC-26'!A1" display="ESC-26" r:id="rId27"/>
    <hyperlink xmlns:r="http://schemas.openxmlformats.org/officeDocument/2006/relationships" ref="A32" location="'ESC-27'!A1" display="ESC-27" r:id="rId28"/>
    <hyperlink xmlns:r="http://schemas.openxmlformats.org/officeDocument/2006/relationships" ref="A33" location="'ESC-28'!A1" display="ESC-28" r:id="rId29"/>
    <hyperlink xmlns:r="http://schemas.openxmlformats.org/officeDocument/2006/relationships" ref="A34" location="'ESC-29'!A1" display="ESC-29" r:id="rId30"/>
    <hyperlink xmlns:r="http://schemas.openxmlformats.org/officeDocument/2006/relationships" ref="A35" location="'ESC-30'!A1" display="ESC-30" r:id="rId31"/>
    <hyperlink xmlns:r="http://schemas.openxmlformats.org/officeDocument/2006/relationships" ref="A36" location="'ESC-31'!A1" display="ESC-31" r:id="rId3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34" customWidth="1" style="28" min="2" max="2"/>
    <col width="28" customWidth="1" style="28" min="3" max="3"/>
    <col width="8" customWidth="1" style="28" min="4" max="4"/>
    <col width="60" customWidth="1" style="28" min="5" max="5"/>
  </cols>
  <sheetData>
    <row r="1" ht="15" customHeight="1" s="29">
      <c r="A1" s="40" t="inlineStr">
        <is>
          <t>Sesiones de Claude Code — cada sesión cubre un escenario o un grupo que comparte datos</t>
        </is>
      </c>
    </row>
    <row r="3" ht="15" customHeight="1" s="29">
      <c r="A3" s="32" t="inlineStr">
        <is>
          <t>Sesión</t>
        </is>
      </c>
      <c r="B3" s="32" t="inlineStr">
        <is>
          <t>Escenarios</t>
        </is>
      </c>
      <c r="C3" s="32" t="inlineStr">
        <is>
          <t>Tema</t>
        </is>
      </c>
      <c r="D3" s="32" t="inlineStr">
        <is>
          <t>Pasos</t>
        </is>
      </c>
      <c r="E3" s="32" t="inlineStr">
        <is>
          <t>Por qué juntos</t>
        </is>
      </c>
    </row>
    <row r="4" ht="15" customHeight="1" s="29">
      <c r="A4" s="34" t="inlineStr">
        <is>
          <t>S01</t>
        </is>
      </c>
      <c r="B4" s="34" t="inlineStr">
        <is>
          <t>ESC-01</t>
        </is>
      </c>
      <c r="C4" s="34" t="inlineStr">
        <is>
          <t>Pedido Seguridad básico</t>
        </is>
      </c>
      <c r="D4" s="34" t="n">
        <v>25</v>
      </c>
      <c r="E4" s="34" t="inlineStr">
        <is>
          <t>Base de todos los escenarios de pedidos.</t>
        </is>
      </c>
    </row>
    <row r="5" ht="15" customHeight="1" s="29">
      <c r="A5" s="34" t="inlineStr">
        <is>
          <t>S02</t>
        </is>
      </c>
      <c r="B5" s="34" t="inlineStr">
        <is>
          <t>ESC-02</t>
        </is>
      </c>
      <c r="C5" s="34" t="inlineStr">
        <is>
          <t>PRG con complejidad</t>
        </is>
      </c>
      <c r="D5" s="34" t="n">
        <v>26</v>
      </c>
      <c r="E5" s="34" t="inlineStr">
        <is>
          <t>Staff, bloques y presupuesto.</t>
        </is>
      </c>
    </row>
    <row r="6" ht="15" customHeight="1" s="29">
      <c r="A6" s="34" t="inlineStr">
        <is>
          <t>S03</t>
        </is>
      </c>
      <c r="B6" s="34" t="inlineStr">
        <is>
          <t>ESC-03</t>
        </is>
      </c>
      <c r="C6" s="34" t="inlineStr">
        <is>
          <t>PRG por fases</t>
        </is>
      </c>
      <c r="D6" s="34" t="n">
        <v>32</v>
      </c>
      <c r="E6" s="34" t="inlineStr">
        <is>
          <t>Múltiples detalles por fase.</t>
        </is>
      </c>
    </row>
    <row r="7" ht="15" customHeight="1" s="29">
      <c r="A7" s="34" t="inlineStr">
        <is>
          <t>S04</t>
        </is>
      </c>
      <c r="B7" s="34" t="inlineStr">
        <is>
          <t>ESC-04</t>
        </is>
      </c>
      <c r="C7" s="34" t="inlineStr">
        <is>
          <t>Pedido masivo Azteca</t>
        </is>
      </c>
      <c r="D7" s="34" t="n">
        <v>106</v>
      </c>
      <c r="E7" s="34" t="inlineStr">
        <is>
          <t>Volumen; buen candidato a parametrizar.</t>
        </is>
      </c>
    </row>
    <row r="8" ht="15" customHeight="1" s="29">
      <c r="A8" s="34" t="inlineStr">
        <is>
          <t>S05</t>
        </is>
      </c>
      <c r="B8" s="34" t="inlineStr">
        <is>
          <t>ESC-05</t>
        </is>
      </c>
      <c r="C8" s="34" t="inlineStr">
        <is>
          <t>Seriados</t>
        </is>
      </c>
      <c r="D8" s="34" t="n">
        <v>48</v>
      </c>
      <c r="E8" s="34" t="inlineStr">
        <is>
          <t>Requiere confirmación de bloque en portal.</t>
        </is>
      </c>
    </row>
    <row r="9" ht="23.85" customHeight="1" s="29">
      <c r="A9" s="34" t="inlineStr">
        <is>
          <t>S06</t>
        </is>
      </c>
      <c r="B9" s="34" t="inlineStr">
        <is>
          <t>ESC-06, ESC-07, ESC-17B, ESC-19, ESC-20</t>
        </is>
      </c>
      <c r="C9" s="34" t="inlineStr">
        <is>
          <t>Reglas de pedido</t>
        </is>
      </c>
      <c r="D9" s="34" t="n">
        <v>35</v>
      </c>
      <c r="E9" s="34" t="inlineStr">
        <is>
          <t>Escenarios cortos e independientes del módulo de pedidos.</t>
        </is>
      </c>
    </row>
    <row r="10" ht="15" customHeight="1" s="29">
      <c r="A10" s="34" t="inlineStr">
        <is>
          <t>S07</t>
        </is>
      </c>
      <c r="B10" s="34" t="inlineStr">
        <is>
          <t>ESC-08, ESC-09, ESC-11</t>
        </is>
      </c>
      <c r="C10" s="34" t="inlineStr">
        <is>
          <t>Elegibilidad del empleado</t>
        </is>
      </c>
      <c r="D10" s="34" t="n">
        <v>27</v>
      </c>
      <c r="E10" s="34" t="inlineStr">
        <is>
          <t>Plaza, certeza valor y puesto vigente.</t>
        </is>
      </c>
    </row>
    <row r="11" ht="15" customHeight="1" s="29">
      <c r="A11" s="34" t="inlineStr">
        <is>
          <t>S08</t>
        </is>
      </c>
      <c r="B11" s="34" t="inlineStr">
        <is>
          <t>ESC-10, ESC-12, ESC-15</t>
        </is>
      </c>
      <c r="C11" s="34" t="inlineStr">
        <is>
          <t>Asignación y preasignación</t>
        </is>
      </c>
      <c r="D11" s="34" t="n">
        <v>28</v>
      </c>
      <c r="E11" s="34" t="inlineStr">
        <is>
          <t>Reglas de asignación forzada y preasignada.</t>
        </is>
      </c>
    </row>
    <row r="12" ht="15" customHeight="1" s="29">
      <c r="A12" s="34" t="inlineStr">
        <is>
          <t>S09</t>
        </is>
      </c>
      <c r="B12" s="34" t="inlineStr">
        <is>
          <t>ESC-13</t>
        </is>
      </c>
      <c r="C12" s="34" t="inlineStr">
        <is>
          <t>Cancelaciones</t>
        </is>
      </c>
      <c r="D12" s="34" t="n">
        <v>29</v>
      </c>
      <c r="E12" s="34" t="inlineStr">
        <is>
          <t>Escenario largo con varios empleados en portal.</t>
        </is>
      </c>
    </row>
    <row r="13" ht="15" customHeight="1" s="29">
      <c r="A13" s="34" t="inlineStr">
        <is>
          <t>S10</t>
        </is>
      </c>
      <c r="B13" s="34" t="inlineStr">
        <is>
          <t>ESC-16, ESC-18</t>
        </is>
      </c>
      <c r="C13" s="34" t="inlineStr">
        <is>
          <t>Restricciones de asignación</t>
        </is>
      </c>
      <c r="D13" s="34" t="n">
        <v>31</v>
      </c>
      <c r="E13" s="34" t="inlineStr">
        <is>
          <t>Certeza en reducción y lista negra.</t>
        </is>
      </c>
    </row>
    <row r="14" ht="15" customHeight="1" s="29">
      <c r="A14" s="34" t="inlineStr">
        <is>
          <t>S11</t>
        </is>
      </c>
      <c r="B14" s="34" t="inlineStr">
        <is>
          <t>ESC-21, ESC-30</t>
        </is>
      </c>
      <c r="C14" s="34" t="inlineStr">
        <is>
          <t>Reservaciones internas</t>
        </is>
      </c>
      <c r="D14" s="34" t="n">
        <v>22</v>
      </c>
      <c r="E14" s="34" t="inlineStr">
        <is>
          <t>Paridad con legado y visibilidad.</t>
        </is>
      </c>
    </row>
    <row r="15" ht="15" customHeight="1" s="29">
      <c r="A15" s="34" t="inlineStr">
        <is>
          <t>S12</t>
        </is>
      </c>
      <c r="B15" s="34" t="inlineStr">
        <is>
          <t>ESC-14, ESC-17A, ESC-29</t>
        </is>
      </c>
      <c r="C15" s="34" t="inlineStr">
        <is>
          <t>Sueldos matriciales</t>
        </is>
      </c>
      <c r="D15" s="34" t="n">
        <v>28</v>
      </c>
      <c r="E15" s="34" t="inlineStr">
        <is>
          <t>Mismo cálculo de complejidad y prorrateo.</t>
        </is>
      </c>
    </row>
    <row r="16" ht="23.85" customHeight="1" s="29">
      <c r="A16" s="34" t="inlineStr">
        <is>
          <t>S13</t>
        </is>
      </c>
      <c r="B16" s="34" t="inlineStr">
        <is>
          <t>ESC-22, ESC-23, ESC-24, ESC-31</t>
        </is>
      </c>
      <c r="C16" s="34" t="inlineStr">
        <is>
          <t>Cadena de nómina</t>
        </is>
      </c>
      <c r="D16" s="34" t="n">
        <v>94</v>
      </c>
      <c r="E16" s="34" t="inlineStr">
        <is>
          <t>Cada uno parte del resultado del anterior: misma sesión o datos persistidos.</t>
        </is>
      </c>
    </row>
    <row r="17" ht="15" customHeight="1" s="29">
      <c r="A17" s="34" t="inlineStr">
        <is>
          <t>S14</t>
        </is>
      </c>
      <c r="B17" s="34" t="inlineStr">
        <is>
          <t>ESC-25, ESC-26</t>
        </is>
      </c>
      <c r="C17" s="34" t="inlineStr">
        <is>
          <t>Honorarios y folios</t>
        </is>
      </c>
      <c r="D17" s="34" t="n">
        <v>51</v>
      </c>
      <c r="E17" s="34" t="inlineStr">
        <is>
          <t>Folio fiscal y runners.</t>
        </is>
      </c>
    </row>
    <row r="18" ht="15" customHeight="1" s="29">
      <c r="A18" s="34" t="inlineStr">
        <is>
          <t>S15</t>
        </is>
      </c>
      <c r="B18" s="34" t="inlineStr">
        <is>
          <t>ESC-27, ESC-28</t>
        </is>
      </c>
      <c r="C18" s="34" t="inlineStr">
        <is>
          <t>Facturación</t>
        </is>
      </c>
      <c r="D18" s="34" t="n">
        <v>21</v>
      </c>
      <c r="E18" s="34" t="inlineStr">
        <is>
          <t>Dependen de ESC-22 y ESC-26.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9" customWidth="1" style="28" min="2" max="2"/>
    <col width="7" customWidth="1" style="28" min="3" max="3"/>
    <col width="10" customWidth="1" style="28" min="4" max="4"/>
    <col width="24" customWidth="1" style="28" min="5" max="5"/>
    <col width="10" customWidth="1" style="28" min="6" max="6"/>
    <col width="40" customWidth="1" style="28" min="7" max="7"/>
    <col width="34" customWidth="1" style="28" min="8" max="8"/>
    <col width="40" customWidth="1" style="28" min="9" max="9"/>
    <col width="18" customWidth="1" style="28" min="10" max="10"/>
    <col width="14" customWidth="1" style="28" min="11" max="11"/>
    <col width="12" customWidth="1" style="28" min="12" max="13"/>
  </cols>
  <sheetData>
    <row r="1" ht="23.85" customHeight="1" s="29">
      <c r="A1" s="32" t="inlineStr">
        <is>
          <t>ID</t>
        </is>
      </c>
      <c r="B1" s="32" t="inlineStr">
        <is>
          <t>Escenario</t>
        </is>
      </c>
      <c r="C1" s="32" t="inlineStr">
        <is>
          <t>Paso #</t>
        </is>
      </c>
      <c r="D1" s="32" t="inlineStr">
        <is>
          <t>Corrida detectado</t>
        </is>
      </c>
      <c r="E1" s="32" t="inlineStr">
        <is>
          <t>Clasificación</t>
        </is>
      </c>
      <c r="F1" s="32" t="inlineStr">
        <is>
          <t>Severidad</t>
        </is>
      </c>
      <c r="G1" s="32" t="inlineStr">
        <is>
          <t>Descripción</t>
        </is>
      </c>
      <c r="H1" s="32" t="inlineStr">
        <is>
          <t>Evidencia</t>
        </is>
      </c>
      <c r="I1" s="32" t="inlineStr">
        <is>
          <t>Causa raíz</t>
        </is>
      </c>
      <c r="J1" s="32" t="inlineStr">
        <is>
          <t>Decisión negocio</t>
        </is>
      </c>
      <c r="K1" s="32" t="inlineStr">
        <is>
          <t>Corregido (commit)</t>
        </is>
      </c>
      <c r="L1" s="32" t="inlineStr">
        <is>
          <t>Verificado en corrida</t>
        </is>
      </c>
      <c r="M1" s="32" t="inlineStr">
        <is>
          <t>Estado</t>
        </is>
      </c>
    </row>
    <row r="2" ht="23.85" customHeight="1" s="29">
      <c r="A2" s="41" t="inlineStr">
        <is>
          <t>H-001</t>
        </is>
      </c>
      <c r="B2" s="41" t="inlineStr">
        <is>
          <t>ESC-01</t>
        </is>
      </c>
      <c r="C2" s="41" t="n">
        <v>3</v>
      </c>
      <c r="D2" s="41" t="inlineStr">
        <is>
          <t>R1</t>
        </is>
      </c>
      <c r="E2" s="41" t="inlineStr">
        <is>
          <t>BUG</t>
        </is>
      </c>
      <c r="F2" s="41" t="inlineStr">
        <is>
          <t>Media</t>
        </is>
      </c>
      <c r="G2" s="41" t="inlineStr">
        <is>
          <t>Ejemplo — Contacto vacío en la ficha del pedido</t>
        </is>
      </c>
      <c r="H2" s="41" t="inlineStr">
        <is>
          <t>corridas/R1/evidencias/ESC-01/P10_despues.png</t>
        </is>
      </c>
      <c r="I2" s="41" t="inlineStr">
        <is>
          <t>Ficha lee contacto_nombre; el formulario guarda contacto_id</t>
        </is>
      </c>
      <c r="J2" s="41" t="inlineStr">
        <is>
          <t>N/A</t>
        </is>
      </c>
      <c r="K2" s="41" t="inlineStr">
        <is>
          <t>abc1234</t>
        </is>
      </c>
      <c r="L2" s="41" t="inlineStr">
        <is>
          <t>R2</t>
        </is>
      </c>
      <c r="M2" s="41" t="inlineStr">
        <is>
          <t>Cerrado</t>
        </is>
      </c>
    </row>
    <row r="3">
      <c r="A3" t="inlineStr">
        <is>
          <t>H-002</t>
        </is>
      </c>
      <c r="B3" t="inlineStr">
        <is>
          <t>ESC-02</t>
        </is>
      </c>
      <c r="C3" t="inlineStr">
        <is>
          <t>7-8</t>
        </is>
      </c>
      <c r="D3" t="inlineStr">
        <is>
          <t>R1</t>
        </is>
      </c>
      <c r="E3" t="inlineStr">
        <is>
          <t>CAMBIO_NOMENCLATURA</t>
        </is>
      </c>
      <c r="F3" t="inlineStr"/>
      <c r="G3" t="inlineStr">
        <is>
          <t>"Tipo de movimiento" real tiene 3 valores (Orden de servicio / Pedido facturable a cliente / Servicio interno); el caso esperaba 2 ("Pedido"/"Servicio Interno") y un campo "Facturable" editable separado que no existe (va embebido en el texto de la opcion).</t>
        </is>
      </c>
      <c r="H3" t="inlineStr">
        <is>
          <t>Tests/corridas/2026-10-10_R1_ESC-02/bitacora.jsonl (pasos 7-8); resumen_ejecucion.md</t>
        </is>
      </c>
      <c r="I3" t="inlineStr">
        <is>
          <t>Nomenclatura de catalogo/UI, no es un defecto de codigo.</t>
        </is>
      </c>
      <c r="J3" t="inlineStr">
        <is>
          <t>Pendiente</t>
        </is>
      </c>
      <c r="K3" t="inlineStr"/>
      <c r="L3" t="inlineStr"/>
      <c r="M3" t="inlineStr">
        <is>
          <t>Abierto</t>
        </is>
      </c>
    </row>
    <row r="4">
      <c r="A4" t="inlineStr">
        <is>
          <t>H-003</t>
        </is>
      </c>
      <c r="B4" t="inlineStr">
        <is>
          <t>ESC-02</t>
        </is>
      </c>
      <c r="C4" t="inlineStr">
        <is>
          <t>13-14</t>
        </is>
      </c>
      <c r="D4" t="inlineStr">
        <is>
          <t>R1</t>
        </is>
      </c>
      <c r="E4" t="inlineStr">
        <is>
          <t>CAMBIO_NOMENCLATURA</t>
        </is>
      </c>
      <c r="F4" t="inlineStr"/>
      <c r="G4" t="inlineStr">
        <is>
          <t>tc_tipos_personal no usa los textos "Staff"/"Operativo". Usa clave freelance/interno/staff con descripciones "Personal freelance / eventual" / "Personal interno de oficina" / "Personal de planta". La clave staff SI implementa correctamente el gating de negocio (Staff solo visible si el pedido tiene complejidad) -- verificado releyendo codigo y reprobando en vivo tras un primer intento con sustituto incorrecto.</t>
        </is>
      </c>
      <c r="H4" t="inlineStr">
        <is>
          <t>Tests/corridas/2026-10-10_R1_ESC-02/bitacora.jsonl (pasos 13-14); verificacion directa del combo</t>
        </is>
      </c>
      <c r="I4" t="inlineStr">
        <is>
          <t>Nomenclatura de catalogo (tc_tipos_personal.descripcion), no de codigo.</t>
        </is>
      </c>
      <c r="J4" t="inlineStr">
        <is>
          <t>Pendiente: evaluar renombrar descripciones a "Staff"/"Operativo"/"Interno"</t>
        </is>
      </c>
      <c r="K4" t="inlineStr"/>
      <c r="L4" t="inlineStr"/>
      <c r="M4" t="inlineStr">
        <is>
          <t>Abierto</t>
        </is>
      </c>
    </row>
    <row r="5">
      <c r="A5" t="inlineStr">
        <is>
          <t>H-004</t>
        </is>
      </c>
      <c r="B5" t="inlineStr">
        <is>
          <t>ESC-02</t>
        </is>
      </c>
      <c r="C5" t="inlineStr">
        <is>
          <t>13</t>
        </is>
      </c>
      <c r="D5" t="inlineStr">
        <is>
          <t>R1</t>
        </is>
      </c>
      <c r="E5" t="inlineStr">
        <is>
          <t>BUG</t>
        </is>
      </c>
      <c r="F5" t="inlineStr">
        <is>
          <t>Baja</t>
        </is>
      </c>
      <c r="G5" t="inlineStr">
        <is>
          <t>tc_tipos_personal tiene 9 filas para solo 3 claves reales (freelance/interno/staff cada una triplicada con IDs distintos). La UI de alta de detalle solo mostro 3 opciones visibles en esta prueba; de cualquier forma la tabla en BD tiene filas redundantes.</t>
        </is>
      </c>
      <c r="H5" t="inlineStr">
        <is>
          <t>Consulta SQL directa a tc_tipos_personal (9 filas, 3 claves)</t>
        </is>
      </c>
      <c r="I5" t="inlineStr">
        <is>
          <t>Dato duplicado en seed/migracion; causa raiz en codigo no investigada (fuera de alcance de esta sesion).</t>
        </is>
      </c>
      <c r="J5" t="inlineStr">
        <is>
          <t>Pendiente: aprobar limpieza (dejar 1 fila por clave)</t>
        </is>
      </c>
      <c r="K5" t="inlineStr"/>
      <c r="L5" t="inlineStr"/>
      <c r="M5" t="inlineStr">
        <is>
          <t>Abierto</t>
        </is>
      </c>
    </row>
    <row r="6">
      <c r="A6" t="inlineStr">
        <is>
          <t>H-005</t>
        </is>
      </c>
      <c r="B6" t="inlineStr">
        <is>
          <t>ESC-02</t>
        </is>
      </c>
      <c r="C6" t="inlineStr">
        <is>
          <t>15-26</t>
        </is>
      </c>
      <c r="D6" t="inlineStr">
        <is>
          <t>R1</t>
        </is>
      </c>
      <c r="E6" t="inlineStr">
        <is>
          <t>GAP_MIGRACION</t>
        </is>
      </c>
      <c r="F6" t="inlineStr">
        <is>
          <t>Alta</t>
        </is>
      </c>
      <c r="G6" t="inlineStr">
        <is>
          <t>Ningun puesto matricial de la UN PRG tiene fila en tp_sueldos_matriciales (0 de 6 puestos PRG preexistentes, y tampoco los 2 insertados para esta prueba -- Asistente Operador PRG y Asistente Aux A PRG). Esto deja VACIO el combo de Producto al elegir Tipo de Personal=Staff para cualquier pedido de PRG, bloqueando el alta de todo el bloque de personal Staff de esa unidad de negocio.</t>
        </is>
      </c>
      <c r="H6" t="inlineStr">
        <is>
          <t>SQL (0 filas); capturas del combo vacio; Tests/corridas/2026-10-10_R1_ESC-02/bitacora.jsonl</t>
        </is>
      </c>
      <c r="I6" t="inlineStr">
        <is>
          <t>Migracion de datos incompleta: el legado real (Ocesa03_j_m.accdb) tiene 171 productos reales de PRG y puestos matriciales confirmados, pero el archivo fuente de tarifas (Catalogos Sueldos Matriciales.xlsx, citado en CLAUDE.md migraciones 022/031) no esta presente en este repo para poder sembrar tarifas reales.</t>
        </is>
      </c>
      <c r="J6" t="inlineStr">
        <is>
          <t>Pendiente: conseguir/aprobar fuente real de tarifas matriciales de PRG para poder sembrar tp_sueldos_matriciales</t>
        </is>
      </c>
      <c r="K6" t="inlineStr"/>
      <c r="L6" t="inlineStr"/>
      <c r="M6" t="inlineStr">
        <is>
          <t>Abierto</t>
        </is>
      </c>
    </row>
    <row r="7">
      <c r="A7" t="inlineStr">
        <is>
          <t>H-006</t>
        </is>
      </c>
      <c r="B7" t="inlineStr">
        <is>
          <t>ESC-02</t>
        </is>
      </c>
      <c r="C7" t="inlineStr">
        <is>
          <t>colateral</t>
        </is>
      </c>
      <c r="D7" t="inlineStr">
        <is>
          <t>R1</t>
        </is>
      </c>
      <c r="E7" t="inlineStr">
        <is>
          <t>BUG</t>
        </is>
      </c>
      <c r="F7" t="inlineStr">
        <is>
          <t>Media</t>
        </is>
      </c>
      <c r="G7" t="inlineStr">
        <is>
          <t>Las pantallas "Pedidos y sitios" y "Arbol de reservaciones" no muestran pedidos con fecha_evento antigua (confirmado invisible: pedido #199, fecha_evento=2018-09-01) pese a existir en BD -- aparente corte/limite de carga sin paginacion (se corta alrededor de 2018-09-21 hacia atras, aunque la BD tiene 199+ pedidos).</t>
        </is>
      </c>
      <c r="H7" t="inlineStr">
        <is>
          <t>Tests/corridas/2026-10-10_R1_ESC-02/bitacora.jsonl (paso 0, intentos 1-2); prueba de control con folio 36 (si se encontro)</t>
        </is>
      </c>
      <c r="I7" t="inlineStr">
        <is>
          <t>No investigada en codigo (fuera de alcance de esta sesion de QA).</t>
        </is>
      </c>
      <c r="J7" t="inlineStr">
        <is>
          <t>Pendiente: priorizar investigacion / agregar paginacion a la lista</t>
        </is>
      </c>
      <c r="K7" t="inlineStr"/>
      <c r="L7" t="inlineStr"/>
      <c r="M7" t="inlineStr">
        <is>
          <t>Abierto</t>
        </is>
      </c>
    </row>
  </sheetData>
  <dataValidations count="4">
    <dataValidation sqref="E2:E500" showDropDown="0" showInputMessage="0" showErrorMessage="0" allowBlank="1" type="list" errorStyle="stop" operator="between">
      <formula1>"BUG,FALSO_POSITIVO_HERRAMIENTA,DISCREPANCIA_NEGOCIO,CAMBIO_NOMENCLATURA,GAP_CATALOGO,GAP_MIGRACION,UX_MENOR,CASO_AMBIGUO"</formula1>
      <formula2>0</formula2>
    </dataValidation>
    <dataValidation sqref="F2:F500" showDropDown="0" showInputMessage="0" showErrorMessage="0" allowBlank="1" type="list" errorStyle="stop" operator="between">
      <formula1>"Crítica,Alta,Media,Baja"</formula1>
      <formula2>0</formula2>
    </dataValidation>
    <dataValidation sqref="J2:J500" showDropDown="0" showInputMessage="0" showErrorMessage="0" allowBlank="1" type="list" errorStyle="stop" operator="between">
      <formula1>"Pendiente,Aprobado corregir,Aceptado como está,N/A"</formula1>
      <formula2>0</formula2>
    </dataValidation>
    <dataValidation sqref="M2:M500" showDropDown="0" showInputMessage="0" showErrorMessage="0" allowBlank="1" type="list" errorStyle="stop" operator="between">
      <formula1>"Abierto,En corrección,Por verificar,Cerrado,Descartado"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8" min="1" max="1"/>
    <col width="100" customWidth="1" style="28" min="2" max="2"/>
  </cols>
  <sheetData>
    <row r="1" ht="15" customHeight="1" s="29">
      <c r="A1" s="38" t="inlineStr">
        <is>
          <t>CICLO POR SESIÓN</t>
        </is>
      </c>
      <c r="B1" s="42" t="n"/>
    </row>
    <row r="2" ht="15" customHeight="1" s="29">
      <c r="A2" s="43" t="inlineStr">
        <is>
          <t>1. Probar (R1)</t>
        </is>
      </c>
      <c r="B2" s="42" t="inlineStr">
        <is>
          <t>qa-tester ejecuta los escenarios de la sesión y llena 'R1 Resultado' y 'R1 Hallazgo / Obs.' con evidencia.</t>
        </is>
      </c>
    </row>
    <row r="3" ht="26.85" customHeight="1" s="29">
      <c r="A3" s="43" t="inlineStr">
        <is>
          <t>2. Analizar</t>
        </is>
      </c>
      <c r="B3" s="42" t="inlineStr">
        <is>
          <t>qa-analista registra cada resultado distinto de CUMPLE en 'Hallazgos' con ID H-xxx y lo referencia en la columna de observación.</t>
        </is>
      </c>
    </row>
    <row r="4" ht="26.85" customHeight="1" s="29">
      <c r="A4" s="43" t="inlineStr">
        <is>
          <t>3. Decidir</t>
        </is>
      </c>
      <c r="B4" s="42" t="inlineStr">
        <is>
          <t>Negocio resuelve DISCREPANCIA_NEGOCIO, CAMBIO_NOMENCLATURA y CASO_AMBIGUO en la columna 'Decisión negocio'.</t>
        </is>
      </c>
    </row>
    <row r="5" ht="15" customHeight="1" s="29">
      <c r="A5" s="43" t="inlineStr">
        <is>
          <t>4. Corregir</t>
        </is>
      </c>
      <c r="B5" s="42" t="inlineStr">
        <is>
          <t>qa-corrector corrige solo hallazgos 'Aprobado corregir', un commit por hallazgo; estado → 'Por verificar'.</t>
        </is>
      </c>
    </row>
    <row r="6" ht="15" customHeight="1" s="29">
      <c r="A6" s="43" t="inlineStr">
        <is>
          <t>5. Re-probar (R2, R3…)</t>
        </is>
      </c>
      <c r="B6" s="42" t="inlineStr">
        <is>
          <t>Se re-ejecuta el escenario completo en la siguiente columna Rn. Hallazgos verificados → 'Cerrado'.</t>
        </is>
      </c>
    </row>
    <row r="7" ht="15" customHeight="1" s="29">
      <c r="A7" s="43" t="inlineStr">
        <is>
          <t>6. Cerrar</t>
        </is>
      </c>
      <c r="B7" s="42" t="inlineStr">
        <is>
          <t>El escenario se cierra cuando Control muestra '✅ 100%' y no tiene hallazgos abiertos.</t>
        </is>
      </c>
    </row>
    <row r="8" ht="15" customHeight="1" s="29">
      <c r="A8" s="38" t="n"/>
      <c r="B8" s="42" t="n"/>
    </row>
    <row r="9" ht="15" customHeight="1" s="29">
      <c r="A9" s="38" t="inlineStr">
        <is>
          <t>RESULTADO</t>
        </is>
      </c>
      <c r="B9" s="42" t="n"/>
    </row>
    <row r="10" ht="15" customHeight="1" s="29">
      <c r="A10" s="38" t="inlineStr">
        <is>
          <t>CUMPLE</t>
        </is>
      </c>
      <c r="B10" s="42" t="inlineStr">
        <is>
          <t>Coincide con el esperado, con evidencia.</t>
        </is>
      </c>
    </row>
    <row r="11" ht="15" customHeight="1" s="29">
      <c r="A11" s="38" t="inlineStr">
        <is>
          <t>NO CUMPLE</t>
        </is>
      </c>
      <c r="B11" s="42" t="inlineStr">
        <is>
          <t>No coincide con el esperado.</t>
        </is>
      </c>
    </row>
    <row r="12" ht="15" customHeight="1" s="29">
      <c r="A12" s="38" t="inlineStr">
        <is>
          <t>PARCIAL</t>
        </is>
      </c>
      <c r="B12" s="42" t="inlineStr">
        <is>
          <t>Existe la funcionalidad pero el dato o comportamiento difiere.</t>
        </is>
      </c>
    </row>
    <row r="13" ht="15" customHeight="1" s="29">
      <c r="A13" s="38" t="inlineStr">
        <is>
          <t>NO EJECUTABLE</t>
        </is>
      </c>
      <c r="B13" s="42" t="inlineStr">
        <is>
          <t>No se puede probar (datos, catálogo, precondición).</t>
        </is>
      </c>
    </row>
    <row r="14" ht="15" customHeight="1" s="29">
      <c r="A14" s="38" t="inlineStr">
        <is>
          <t>VERIFICAR</t>
        </is>
      </c>
      <c r="B14" s="42" t="inlineStr">
        <is>
          <t>Ejecutado sin evidencia o con juicio a confirmar.</t>
        </is>
      </c>
    </row>
    <row r="15" ht="15" customHeight="1" s="29">
      <c r="A15" s="38" t="inlineStr">
        <is>
          <t>PENDIENTE</t>
        </is>
      </c>
      <c r="B15" s="42" t="inlineStr">
        <is>
          <t>No ejecutado.</t>
        </is>
      </c>
    </row>
    <row r="16" ht="15" customHeight="1" s="29">
      <c r="A16" s="38" t="n"/>
      <c r="B16" s="42" t="n"/>
    </row>
    <row r="17" ht="15" customHeight="1" s="29">
      <c r="A17" s="38" t="inlineStr">
        <is>
          <t>COMPARATIVO (calculado)</t>
        </is>
      </c>
      <c r="B17" s="42" t="n"/>
    </row>
    <row r="18" ht="15" customHeight="1" s="29">
      <c r="A18" s="43" t="inlineStr">
        <is>
          <t>Mejora / Mejora parcial</t>
        </is>
      </c>
      <c r="B18" s="42" t="inlineStr">
        <is>
          <t>Fallaba en legado y ahora cumple (total o parcialmente).</t>
        </is>
      </c>
    </row>
    <row r="19" ht="15" customHeight="1" s="29">
      <c r="A19" s="43" t="inlineStr">
        <is>
          <t>Regresión</t>
        </is>
      </c>
      <c r="B19" s="42" t="inlineStr">
        <is>
          <t>Cumplía en legado y ahora falla.</t>
        </is>
      </c>
    </row>
    <row r="20" ht="15" customHeight="1" s="29">
      <c r="A20" s="43" t="inlineStr">
        <is>
          <t>Falla nueva</t>
        </is>
      </c>
      <c r="B20" s="42" t="inlineStr">
        <is>
          <t>No se ejecutó en legado y falla ahora.</t>
        </is>
      </c>
    </row>
    <row r="21" ht="15" customHeight="1" s="29">
      <c r="A21" s="43" t="inlineStr">
        <is>
          <t>Sigue fallando</t>
        </is>
      </c>
      <c r="B21" s="42" t="inlineStr">
        <is>
          <t>Fallaba en legado y sigue fallando.</t>
        </is>
      </c>
    </row>
    <row r="22" ht="15" customHeight="1" s="29">
      <c r="A22" s="43" t="inlineStr">
        <is>
          <t>Se mantiene</t>
        </is>
      </c>
      <c r="B22" s="42" t="inlineStr">
        <is>
          <t>Mismo resultado que en legado.</t>
        </is>
      </c>
    </row>
    <row r="23" ht="15" customHeight="1" s="29">
      <c r="A23" s="38" t="n"/>
      <c r="B23" s="42" t="n"/>
    </row>
    <row r="24" ht="15" customHeight="1" s="29">
      <c r="A24" s="38" t="inlineStr">
        <is>
          <t>COLORES</t>
        </is>
      </c>
      <c r="B24" s="42" t="n"/>
    </row>
    <row r="25" ht="15" customHeight="1" s="29">
      <c r="A25" s="43" t="inlineStr">
        <is>
          <t>Gris</t>
        </is>
      </c>
      <c r="B25" s="42" t="inlineStr">
        <is>
          <t>Datos del legado: no editar.</t>
        </is>
      </c>
    </row>
    <row r="26" ht="15" customHeight="1" s="29">
      <c r="A26" s="43" t="inlineStr">
        <is>
          <t>Azul</t>
        </is>
      </c>
      <c r="B26" s="42" t="inlineStr">
        <is>
          <t>Columnas del ciclo Claude Code: editables.</t>
        </is>
      </c>
    </row>
    <row r="27" ht="15" customHeight="1" s="29">
      <c r="A27" s="43" t="inlineStr">
        <is>
          <t>Naranja</t>
        </is>
      </c>
      <c r="B27" s="42" t="inlineStr">
        <is>
          <t>Problema de calidad del caso: resolver antes de ejecutar ese paso.</t>
        </is>
      </c>
    </row>
    <row r="28" ht="15" customHeight="1" s="29">
      <c r="A28" s="43" t="inlineStr">
        <is>
          <t>Negritas</t>
        </is>
      </c>
      <c r="B28" s="42" t="inlineStr">
        <is>
          <t>Fórmulas (Último resultado, Comparativo, resúmenes): no editar.</t>
        </is>
      </c>
    </row>
    <row r="29" ht="15" customHeight="1" s="29">
      <c r="A29" s="38" t="n"/>
      <c r="B29" s="42" t="n"/>
    </row>
    <row r="30" ht="26.85" customHeight="1" s="29">
      <c r="A30" s="38" t="inlineStr">
        <is>
          <t>REGLA</t>
        </is>
      </c>
      <c r="B30" s="42" t="inlineStr">
        <is>
          <t>Nunca se edita la descripción ni el resultado esperado. Si negocio cambia un esperado, se anota en Hallazgos como CASO_AMBIGUO con la decisión.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ESC-01 — Pedido para Metropólitan (Seguridad) - Sin Cancelación</t>
        </is>
      </c>
    </row>
    <row r="2" ht="15" customHeight="1" s="29">
      <c r="A2" s="45" t="inlineStr">
        <is>
          <t>Núm. original</t>
        </is>
      </c>
      <c r="B2" s="46" t="inlineStr">
        <is>
          <t>Escenario 1</t>
        </is>
      </c>
      <c r="I2" s="45" t="inlineStr">
        <is>
          <t>Pasos</t>
        </is>
      </c>
      <c r="J2" s="45">
        <f>COUNT(A13:A38)</f>
        <v/>
      </c>
    </row>
    <row r="3" ht="15" customHeight="1" s="29">
      <c r="A3" s="45" t="inlineStr">
        <is>
          <t>Módulo</t>
        </is>
      </c>
      <c r="B3" s="46" t="inlineStr">
        <is>
          <t>Pedidos</t>
        </is>
      </c>
      <c r="I3" s="45" t="inlineStr">
        <is>
          <t>Ejecutados (último)</t>
        </is>
      </c>
      <c r="J3" s="45">
        <f>COUNTIF(O13:O38,"?*")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el alta completa de un pedido de Seguridad sin cancelación y su detalle, hasta la cancelación del pedido.</t>
        </is>
      </c>
      <c r="I4" s="45" t="inlineStr">
        <is>
          <t>CUMPLE (último)</t>
        </is>
      </c>
      <c r="J4" s="45">
        <f>COUNTIF(O13:O38,"CUMPLE")</f>
        <v/>
      </c>
    </row>
    <row r="5" ht="23.85" customHeight="1" s="29">
      <c r="A5" s="45" t="inlineStr">
        <is>
          <t>Funcionalidades</t>
        </is>
      </c>
      <c r="B5" s="46" t="inlineStr">
        <is>
          <t>Alta de pedido · contactos por cliente · PEP y sociedad pagadora · tipo de movimiento · estatus · catálogo por UN · jornada por turno · validación de fechas · matriz · acciones del detalle · cancelación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S01</t>
        </is>
      </c>
    </row>
    <row r="8" ht="15" customHeight="1" s="29">
      <c r="A8" s="45" t="inlineStr">
        <is>
          <t>⚠ Calidad del caso</t>
        </is>
      </c>
      <c r="B8" s="48" t="inlineStr">
        <is>
          <t>Paso 13: la descripción (prerellenos) y el esperado (productos de Seguridad) no corresponden.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>
        <v>1</v>
      </c>
      <c r="C13" s="34" t="inlineStr">
        <is>
          <t>Crear un nuevo pedido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15" customHeight="1" s="29">
      <c r="A14" s="34" t="n">
        <v>2</v>
      </c>
      <c r="B14" s="34" t="n">
        <v>2</v>
      </c>
      <c r="C14" s="34" t="inlineStr">
        <is>
          <t>Seleccionar cliente Ocesa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>
        <v>3</v>
      </c>
      <c r="C15" s="34" t="inlineStr">
        <is>
          <t>Validar lista de contactos</t>
        </is>
      </c>
      <c r="D15" s="34" t="inlineStr">
        <is>
          <t>Los contactos mostrados deben pertenecer al cliente Ocesa</t>
        </is>
      </c>
      <c r="E15" s="34" t="n"/>
      <c r="F15" s="53" t="inlineStr">
        <is>
          <t>Cumple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>
        <v>4</v>
      </c>
      <c r="C16" s="34" t="inlineStr">
        <is>
          <t>Seleccionar un evento</t>
        </is>
      </c>
      <c r="D16" s="34" t="n"/>
      <c r="E16" s="34" t="n"/>
      <c r="F16" s="53" t="inlineStr">
        <is>
          <t>Cumple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35.05" customHeight="1" s="29">
      <c r="A17" s="34" t="n">
        <v>5</v>
      </c>
      <c r="B17" s="34" t="n">
        <v>5</v>
      </c>
      <c r="C17" s="34" t="inlineStr">
        <is>
          <t>Seleccionar UN Seguridad</t>
        </is>
      </c>
      <c r="D17" s="34" t="inlineStr">
        <is>
          <t>El sistema despliega los PEPS de la UN de seguridad, y la sociedad pagadora (en este caso Lobo)</t>
        </is>
      </c>
      <c r="E17" s="34" t="n"/>
      <c r="F17" s="53" t="inlineStr">
        <is>
          <t>No cumple</t>
        </is>
      </c>
      <c r="G17" s="53" t="inlineStr">
        <is>
          <t>Antes de seleccionar la UN la sociedad pagadora está por default con ID 10</t>
        </is>
      </c>
      <c r="H17" s="53" t="inlineStr">
        <is>
          <t>Corregido</t>
        </is>
      </c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>
        <v>6</v>
      </c>
      <c r="C18" s="34" t="inlineStr">
        <is>
          <t>Seleccionar el PEPS asociado a la UN</t>
        </is>
      </c>
      <c r="D18" s="34" t="inlineStr">
        <is>
          <t>El sistema me muestra el nombre y la dirección del  inmueble</t>
        </is>
      </c>
      <c r="E18" s="34" t="n"/>
      <c r="F18" s="53" t="inlineStr">
        <is>
          <t>Cumple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>
        <v>7</v>
      </c>
      <c r="C19" s="34" t="inlineStr">
        <is>
          <t>Validar tipo de movimiento</t>
        </is>
      </c>
      <c r="D19" s="34" t="inlineStr">
        <is>
          <t>El sistema debe mostrar dos tipos de movimiento (Pedido y Servicio Interno)</t>
        </is>
      </c>
      <c r="E19" s="34" t="n"/>
      <c r="F19" s="53" t="inlineStr">
        <is>
          <t>No cumple</t>
        </is>
      </c>
      <c r="G19" s="53" t="inlineStr">
        <is>
          <t>Únicamnete muestra "pedido"</t>
        </is>
      </c>
      <c r="H19" s="53" t="inlineStr">
        <is>
          <t>Corregido / Listo</t>
        </is>
      </c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>
        <v>8</v>
      </c>
      <c r="C20" s="34" t="inlineStr">
        <is>
          <t>Seleccionar Tipo de movimiento Pedido</t>
        </is>
      </c>
      <c r="D20" s="34" t="inlineStr">
        <is>
          <t>EL tipo Pedido se factura (validar posteriormente)</t>
        </is>
      </c>
      <c r="E20" s="34" t="n"/>
      <c r="F20" s="53" t="inlineStr">
        <is>
          <t>Cumple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15" customHeight="1" s="29">
      <c r="A21" s="34" t="n">
        <v>9</v>
      </c>
      <c r="B21" s="34" t="n">
        <v>9</v>
      </c>
      <c r="C21" s="34" t="inlineStr">
        <is>
          <t>En el campo Permitir Cancelar, seleccionar NO</t>
        </is>
      </c>
      <c r="D21" s="34" t="n"/>
      <c r="E21" s="34" t="n"/>
      <c r="F21" s="53" t="inlineStr">
        <is>
          <t>Cumple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23.85" customHeight="1" s="29">
      <c r="A22" s="34" t="n">
        <v>10</v>
      </c>
      <c r="B22" s="34" t="n">
        <v>10</v>
      </c>
      <c r="C22" s="34" t="inlineStr">
        <is>
          <t>Pulsar Aceptar</t>
        </is>
      </c>
      <c r="D22" s="34" t="inlineStr">
        <is>
          <t>El sistema genera un número consecutivo de pedido.</t>
        </is>
      </c>
      <c r="E22" s="34" t="n"/>
      <c r="F22" s="53" t="inlineStr">
        <is>
          <t>Cumple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15" customHeight="1" s="29">
      <c r="A23" s="56" t="n"/>
      <c r="B23" s="56" t="n"/>
      <c r="C23" s="57" t="inlineStr">
        <is>
          <t>Pedido Detalle</t>
        </is>
      </c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</row>
    <row r="24" ht="23.85" customHeight="1" s="29">
      <c r="A24" s="34" t="n">
        <v>11</v>
      </c>
      <c r="B24" s="34" t="n">
        <v>11</v>
      </c>
      <c r="C24" s="34" t="inlineStr">
        <is>
          <t>Validar Estatus del Pedido</t>
        </is>
      </c>
      <c r="D24" s="34" t="inlineStr">
        <is>
          <t>Debe estar en estado Normal</t>
        </is>
      </c>
      <c r="E24" s="34" t="n"/>
      <c r="F24" s="53" t="inlineStr">
        <is>
          <t>No cumple</t>
        </is>
      </c>
      <c r="G24" s="53" t="inlineStr">
        <is>
          <t>El estatus del pedido aparece como: NINGUNO</t>
        </is>
      </c>
      <c r="H24" s="53" t="inlineStr">
        <is>
          <t>Corregido</t>
        </is>
      </c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23.85" customHeight="1" s="29">
      <c r="A25" s="34" t="n">
        <v>12</v>
      </c>
      <c r="B25" s="34" t="n">
        <v>12</v>
      </c>
      <c r="C25" s="34" t="inlineStr">
        <is>
          <t>Seleccionar Tipo de Personal Operativo</t>
        </is>
      </c>
      <c r="D25" s="34" t="inlineStr">
        <is>
          <t>Validar que sólo se muestre Operativo por default ser un pedido de seguridad</t>
        </is>
      </c>
      <c r="E25" s="34" t="n"/>
      <c r="F25" s="53" t="inlineStr">
        <is>
          <t>Cumple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46.25" customHeight="1" s="29">
      <c r="A26" s="34" t="n">
        <v>13</v>
      </c>
      <c r="B26" s="34" t="n">
        <v>13</v>
      </c>
      <c r="C26" s="34" t="inlineStr">
        <is>
          <t>Validar que Tïtulo, Lugar de Cita, Facturable vienen prerellenos</t>
        </is>
      </c>
      <c r="D26" s="34" t="inlineStr">
        <is>
          <t>Validar que se muestran todos los productos de Seguridad</t>
        </is>
      </c>
      <c r="E26" s="37" t="inlineStr">
        <is>
          <t>Descripción y esperado no corresponden.</t>
        </is>
      </c>
      <c r="F26" s="53" t="inlineStr">
        <is>
          <t>No cumple</t>
        </is>
      </c>
      <c r="G26" s="53" t="inlineStr">
        <is>
          <t>Revisar filtros en el catálogo de productos para facilitar la consulta. El campo de facturable no viene prerelleno</t>
        </is>
      </c>
      <c r="H26" s="53" t="inlineStr">
        <is>
          <t>Corregido</t>
        </is>
      </c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15" customHeight="1" s="29">
      <c r="A27" s="34" t="n">
        <v>14</v>
      </c>
      <c r="B27" s="34" t="n">
        <v>14</v>
      </c>
      <c r="C27" s="34" t="inlineStr">
        <is>
          <t>Seleccionar Producto Seguridad-MA</t>
        </is>
      </c>
      <c r="D27" s="34" t="n"/>
      <c r="E27" s="34" t="n"/>
      <c r="F27" s="53" t="inlineStr">
        <is>
          <t>Cumple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23.85" customHeight="1" s="29">
      <c r="A28" s="34" t="n">
        <v>15</v>
      </c>
      <c r="B28" s="34" t="n">
        <v>15</v>
      </c>
      <c r="C28" s="34" t="inlineStr">
        <is>
          <t>Validar que el sistema muestra las horas por turno de ese producto</t>
        </is>
      </c>
      <c r="D28" s="34" t="inlineStr">
        <is>
          <t>Se muestra 1 turno por 8 horas</t>
        </is>
      </c>
      <c r="E28" s="34" t="n"/>
      <c r="F28" s="53" t="inlineStr">
        <is>
          <t>No cumple</t>
        </is>
      </c>
      <c r="G28" s="53" t="inlineStr">
        <is>
          <t>No muestra la infromación</t>
        </is>
      </c>
      <c r="H28" s="53" t="inlineStr">
        <is>
          <t>Corregido / Listo</t>
        </is>
      </c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15" customHeight="1" s="29">
      <c r="A29" s="34" t="n">
        <v>16</v>
      </c>
      <c r="B29" s="34" t="n">
        <v>16</v>
      </c>
      <c r="C29" s="34" t="inlineStr">
        <is>
          <t>Poner Cantidad 2 y Turnos 3</t>
        </is>
      </c>
      <c r="D29" s="34" t="n"/>
      <c r="E29" s="34" t="n"/>
      <c r="F29" s="53" t="inlineStr">
        <is>
          <t>Cumple</t>
        </is>
      </c>
      <c r="G29" s="53" t="n"/>
      <c r="H29" s="53" t="n"/>
      <c r="I29" s="54" t="n"/>
      <c r="J29" s="54" t="n"/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  <row r="30" ht="15" customHeight="1" s="29">
      <c r="A30" s="34" t="n">
        <v>17</v>
      </c>
      <c r="B30" s="34" t="n">
        <v>17</v>
      </c>
      <c r="C30" s="34" t="inlineStr">
        <is>
          <t>Seleccionar cualquier Fecha de Cita</t>
        </is>
      </c>
      <c r="D30" s="34" t="n"/>
      <c r="E30" s="34" t="n"/>
      <c r="F30" s="53" t="inlineStr">
        <is>
          <t>Cumple</t>
        </is>
      </c>
      <c r="G30" s="53" t="n"/>
      <c r="H30" s="53" t="n"/>
      <c r="I30" s="54" t="n"/>
      <c r="J30" s="54" t="n"/>
      <c r="K30" s="54" t="n"/>
      <c r="L30" s="54" t="n"/>
      <c r="M30" s="54" t="n"/>
      <c r="N30" s="54" t="n"/>
      <c r="O30" s="55">
        <f>IF(M30&lt;&gt;"",M30,IF(K30&lt;&gt;"",K30,IF(I30&lt;&gt;"",I30,"")))</f>
        <v/>
      </c>
      <c r="P30" s="55">
        <f>IF(O30="","",IF(O30="PENDIENTE","Pendiente",IF(O30="NO EJECUTABLE","No ejecutable",IF(O30="VERIFICAR","Por verificar",IF(AND(F30="No cumple",O30="CUMPLE"),"Mejora",IF(AND(F30="No cumple",O30="PARCIAL"),"Mejora parcial",IF(AND(OR(F30="Cumple",F30="Sin ejecutar"),OR(O30="NO CUMPLE",O30="PARCIAL")),IF(F30="Cumple","Regresión","Falla nueva"),IF(AND(F30="No cumple",O30="NO CUMPLE"),"Sigue fallando","Se mantiene"))))))))</f>
        <v/>
      </c>
    </row>
    <row r="31" ht="35.05" customHeight="1" s="29">
      <c r="A31" s="34" t="n">
        <v>18</v>
      </c>
      <c r="B31" s="34" t="n">
        <v>18</v>
      </c>
      <c r="C31" s="34" t="inlineStr">
        <is>
          <t>Seleccionar una fecha de liberación posterior</t>
        </is>
      </c>
      <c r="D31" s="34" t="inlineStr">
        <is>
          <t>El sistema debe de mostrar una alerta por que no puede ser la fecha de liberación posterior a la fecha de cita</t>
        </is>
      </c>
      <c r="E31" s="34" t="n"/>
      <c r="F31" s="53" t="inlineStr">
        <is>
          <t>Cumple</t>
        </is>
      </c>
      <c r="G31" s="53" t="n"/>
      <c r="H31" s="53" t="n"/>
      <c r="I31" s="54" t="n"/>
      <c r="J31" s="54" t="n"/>
      <c r="K31" s="54" t="n"/>
      <c r="L31" s="54" t="n"/>
      <c r="M31" s="54" t="n"/>
      <c r="N31" s="54" t="n"/>
      <c r="O31" s="55">
        <f>IF(M31&lt;&gt;"",M31,IF(K31&lt;&gt;"",K31,IF(I31&lt;&gt;"",I31,"")))</f>
        <v/>
      </c>
      <c r="P31" s="55">
        <f>IF(O31="","",IF(O31="PENDIENTE","Pendiente",IF(O31="NO EJECUTABLE","No ejecutable",IF(O31="VERIFICAR","Por verificar",IF(AND(F31="No cumple",O31="CUMPLE"),"Mejora",IF(AND(F31="No cumple",O31="PARCIAL"),"Mejora parcial",IF(AND(OR(F31="Cumple",F31="Sin ejecutar"),OR(O31="NO CUMPLE",O31="PARCIAL")),IF(F31="Cumple","Regresión","Falla nueva"),IF(AND(F31="No cumple",O31="NO CUMPLE"),"Sigue fallando","Se mantiene"))))))))</f>
        <v/>
      </c>
    </row>
    <row r="32" ht="15" customHeight="1" s="29">
      <c r="A32" s="34" t="n">
        <v>19</v>
      </c>
      <c r="B32" s="34" t="n">
        <v>19</v>
      </c>
      <c r="C32" s="34" t="inlineStr">
        <is>
          <t>Seleccionar una fecha correcta de liberación</t>
        </is>
      </c>
      <c r="D32" s="34" t="n"/>
      <c r="E32" s="34" t="n"/>
      <c r="F32" s="53" t="inlineStr">
        <is>
          <t>Cumple</t>
        </is>
      </c>
      <c r="G32" s="53" t="n"/>
      <c r="H32" s="53" t="n"/>
      <c r="I32" s="54" t="n"/>
      <c r="J32" s="54" t="n"/>
      <c r="K32" s="54" t="n"/>
      <c r="L32" s="54" t="n"/>
      <c r="M32" s="54" t="n"/>
      <c r="N32" s="54" t="n"/>
      <c r="O32" s="55">
        <f>IF(M32&lt;&gt;"",M32,IF(K32&lt;&gt;"",K32,IF(I32&lt;&gt;"",I32,"")))</f>
        <v/>
      </c>
      <c r="P32" s="55">
        <f>IF(O32="","",IF(O32="PENDIENTE","Pendiente",IF(O32="NO EJECUTABLE","No ejecutable",IF(O32="VERIFICAR","Por verificar",IF(AND(F32="No cumple",O32="CUMPLE"),"Mejora",IF(AND(F32="No cumple",O32="PARCIAL"),"Mejora parcial",IF(AND(OR(F32="Cumple",F32="Sin ejecutar"),OR(O32="NO CUMPLE",O32="PARCIAL")),IF(F32="Cumple","Regresión","Falla nueva"),IF(AND(F32="No cumple",O32="NO CUMPLE"),"Sigue fallando","Se mantiene"))))))))</f>
        <v/>
      </c>
    </row>
    <row r="33" ht="23.85" customHeight="1" s="29">
      <c r="A33" s="34" t="n">
        <v>20</v>
      </c>
      <c r="B33" s="34" t="n">
        <v>20</v>
      </c>
      <c r="C33" s="34" t="inlineStr">
        <is>
          <t>En presentación por producto, validar que sólo muentren las de la unidad de negocio</t>
        </is>
      </c>
      <c r="D33" s="34" t="n"/>
      <c r="E33" s="34" t="n"/>
      <c r="F33" s="53" t="inlineStr">
        <is>
          <t>Cumple</t>
        </is>
      </c>
      <c r="G33" s="53" t="n"/>
      <c r="H33" s="53" t="n"/>
      <c r="I33" s="54" t="n"/>
      <c r="J33" s="54" t="n"/>
      <c r="K33" s="54" t="n"/>
      <c r="L33" s="54" t="n"/>
      <c r="M33" s="54" t="n"/>
      <c r="N33" s="54" t="n"/>
      <c r="O33" s="55">
        <f>IF(M33&lt;&gt;"",M33,IF(K33&lt;&gt;"",K33,IF(I33&lt;&gt;"",I33,"")))</f>
        <v/>
      </c>
      <c r="P33" s="55">
        <f>IF(O33="","",IF(O33="PENDIENTE","Pendiente",IF(O33="NO EJECUTABLE","No ejecutable",IF(O33="VERIFICAR","Por verificar",IF(AND(F33="No cumple",O33="CUMPLE"),"Mejora",IF(AND(F33="No cumple",O33="PARCIAL"),"Mejora parcial",IF(AND(OR(F33="Cumple",F33="Sin ejecutar"),OR(O33="NO CUMPLE",O33="PARCIAL")),IF(F33="Cumple","Regresión","Falla nueva"),IF(AND(F33="No cumple",O33="NO CUMPLE"),"Sigue fallando","Se mantiene"))))))))</f>
        <v/>
      </c>
    </row>
    <row r="34" ht="15" customHeight="1" s="29">
      <c r="A34" s="34" t="n">
        <v>21</v>
      </c>
      <c r="B34" s="34" t="n">
        <v>21</v>
      </c>
      <c r="C34" s="34" t="inlineStr">
        <is>
          <t>Completar con similares - Marcar SI</t>
        </is>
      </c>
      <c r="D34" s="34" t="n"/>
      <c r="E34" s="34" t="n"/>
      <c r="F34" s="53" t="inlineStr">
        <is>
          <t>Cumple</t>
        </is>
      </c>
      <c r="G34" s="53" t="n"/>
      <c r="H34" s="53" t="n"/>
      <c r="I34" s="54" t="n"/>
      <c r="J34" s="54" t="n"/>
      <c r="K34" s="54" t="n"/>
      <c r="L34" s="54" t="n"/>
      <c r="M34" s="54" t="n"/>
      <c r="N34" s="54" t="n"/>
      <c r="O34" s="55">
        <f>IF(M34&lt;&gt;"",M34,IF(K34&lt;&gt;"",K34,IF(I34&lt;&gt;"",I34,"")))</f>
        <v/>
      </c>
      <c r="P34" s="55">
        <f>IF(O34="","",IF(O34="PENDIENTE","Pendiente",IF(O34="NO EJECUTABLE","No ejecutable",IF(O34="VERIFICAR","Por verificar",IF(AND(F34="No cumple",O34="CUMPLE"),"Mejora",IF(AND(F34="No cumple",O34="PARCIAL"),"Mejora parcial",IF(AND(OR(F34="Cumple",F34="Sin ejecutar"),OR(O34="NO CUMPLE",O34="PARCIAL")),IF(F34="Cumple","Regresión","Falla nueva"),IF(AND(F34="No cumple",O34="NO CUMPLE"),"Sigue fallando","Se mantiene"))))))))</f>
        <v/>
      </c>
    </row>
    <row r="35" ht="46.25" customHeight="1" s="29">
      <c r="A35" s="34" t="n">
        <v>22</v>
      </c>
      <c r="B35" s="34" t="n">
        <v>22</v>
      </c>
      <c r="C35" s="34" t="inlineStr">
        <is>
          <t>Agregar registro</t>
        </is>
      </c>
      <c r="D35" s="34" t="inlineStr">
        <is>
          <t>Validamos que se muestra la Matriz de información (Fecha, hora, productos, Turnos, Totales (personal y monto))</t>
        </is>
      </c>
      <c r="E35" s="34" t="n"/>
      <c r="F35" s="53" t="inlineStr">
        <is>
          <t>Cumple</t>
        </is>
      </c>
      <c r="G35" s="53" t="inlineStr">
        <is>
          <t>Revisar la validación de turnos por cantidad y si el nombre de producto está  en la matriz en la parte de descripción</t>
        </is>
      </c>
      <c r="H35" s="53" t="inlineStr">
        <is>
          <t>EN PROCESO</t>
        </is>
      </c>
      <c r="I35" s="54" t="n"/>
      <c r="J35" s="54" t="n"/>
      <c r="K35" s="54" t="n"/>
      <c r="L35" s="54" t="n"/>
      <c r="M35" s="54" t="n"/>
      <c r="N35" s="54" t="n"/>
      <c r="O35" s="55">
        <f>IF(M35&lt;&gt;"",M35,IF(K35&lt;&gt;"",K35,IF(I35&lt;&gt;"",I35,"")))</f>
        <v/>
      </c>
      <c r="P35" s="55">
        <f>IF(O35="","",IF(O35="PENDIENTE","Pendiente",IF(O35="NO EJECUTABLE","No ejecutable",IF(O35="VERIFICAR","Por verificar",IF(AND(F35="No cumple",O35="CUMPLE"),"Mejora",IF(AND(F35="No cumple",O35="PARCIAL"),"Mejora parcial",IF(AND(OR(F35="Cumple",F35="Sin ejecutar"),OR(O35="NO CUMPLE",O35="PARCIAL")),IF(F35="Cumple","Regresión","Falla nueva"),IF(AND(F35="No cumple",O35="NO CUMPLE"),"Sigue fallando","Se mantiene"))))))))</f>
        <v/>
      </c>
    </row>
    <row r="36" ht="68.65000000000001" customHeight="1" s="29">
      <c r="A36" s="34" t="n">
        <v>23</v>
      </c>
      <c r="B36" s="34" t="n">
        <v>23</v>
      </c>
      <c r="C36" s="34" t="inlineStr">
        <is>
          <t>Al posicionarse sobre el producto debe mostrar</t>
        </is>
      </c>
      <c r="D36" s="34" t="inlineStr">
        <is>
          <t>ID, Lugar de Cita, Fecha Cita, Fecha Fin Cita, Fecha Liberación, Completar con Similares, Cantidad Reservados, Cantidad Reservados Real, Cantidad Reservados con preasignación, Porcentaje Completo, Fase del Evento, Presentación</t>
        </is>
      </c>
      <c r="E36" s="34" t="n"/>
      <c r="F36" s="53" t="inlineStr">
        <is>
          <t>No cumple</t>
        </is>
      </c>
      <c r="G36" s="53" t="inlineStr">
        <is>
          <t>Revisar que estén en las tres pestañas todos los conceptos mencioandos, algunos los encontré, otros no.</t>
        </is>
      </c>
      <c r="H36" s="53" t="inlineStr">
        <is>
          <t>EN PROCESO</t>
        </is>
      </c>
      <c r="I36" s="54" t="n"/>
      <c r="J36" s="54" t="n"/>
      <c r="K36" s="54" t="n"/>
      <c r="L36" s="54" t="n"/>
      <c r="M36" s="54" t="n"/>
      <c r="N36" s="54" t="n"/>
      <c r="O36" s="55">
        <f>IF(M36&lt;&gt;"",M36,IF(K36&lt;&gt;"",K36,IF(I36&lt;&gt;"",I36,"")))</f>
        <v/>
      </c>
      <c r="P36" s="55">
        <f>IF(O36="","",IF(O36="PENDIENTE","Pendiente",IF(O36="NO EJECUTABLE","No ejecutable",IF(O36="VERIFICAR","Por verificar",IF(AND(F36="No cumple",O36="CUMPLE"),"Mejora",IF(AND(F36="No cumple",O36="PARCIAL"),"Mejora parcial",IF(AND(OR(F36="Cumple",F36="Sin ejecutar"),OR(O36="NO CUMPLE",O36="PARCIAL")),IF(F36="Cumple","Regresión","Falla nueva"),IF(AND(F36="No cumple",O36="NO CUMPLE"),"Sigue fallando","Se mantiene"))))))))</f>
        <v/>
      </c>
    </row>
    <row r="37" ht="23.85" customHeight="1" s="29">
      <c r="A37" s="34" t="n">
        <v>24</v>
      </c>
      <c r="B37" s="34" t="n">
        <v>24</v>
      </c>
      <c r="C37" s="34" t="inlineStr">
        <is>
          <t>En la flecha con los turnos debe mostrar</t>
        </is>
      </c>
      <c r="D37" s="34" t="inlineStr">
        <is>
          <t>Editar, Reservaciones, Cancelar y Liberar</t>
        </is>
      </c>
      <c r="E37" s="34" t="n"/>
      <c r="F37" s="53" t="inlineStr">
        <is>
          <t>No cumple</t>
        </is>
      </c>
      <c r="G37" s="53" t="inlineStr">
        <is>
          <t>revisar punto una vez más con ayuda de Leo..</t>
        </is>
      </c>
      <c r="H37" s="53" t="inlineStr">
        <is>
          <t>EN PROCESO</t>
        </is>
      </c>
      <c r="I37" s="54" t="n"/>
      <c r="J37" s="54" t="n"/>
      <c r="K37" s="54" t="n"/>
      <c r="L37" s="54" t="n"/>
      <c r="M37" s="54" t="n"/>
      <c r="N37" s="54" t="n"/>
      <c r="O37" s="55">
        <f>IF(M37&lt;&gt;"",M37,IF(K37&lt;&gt;"",K37,IF(I37&lt;&gt;"",I37,"")))</f>
        <v/>
      </c>
      <c r="P37" s="55">
        <f>IF(O37="","",IF(O37="PENDIENTE","Pendiente",IF(O37="NO EJECUTABLE","No ejecutable",IF(O37="VERIFICAR","Por verificar",IF(AND(F37="No cumple",O37="CUMPLE"),"Mejora",IF(AND(F37="No cumple",O37="PARCIAL"),"Mejora parcial",IF(AND(OR(F37="Cumple",F37="Sin ejecutar"),OR(O37="NO CUMPLE",O37="PARCIAL")),IF(F37="Cumple","Regresión","Falla nueva"),IF(AND(F37="No cumple",O37="NO CUMPLE"),"Sigue fallando","Se mantiene"))))))))</f>
        <v/>
      </c>
    </row>
    <row r="38" ht="46.25" customHeight="1" s="29">
      <c r="A38" s="34" t="n">
        <v>25</v>
      </c>
      <c r="B38" s="34" t="n">
        <v>25</v>
      </c>
      <c r="C38" s="34" t="inlineStr">
        <is>
          <t>Pulsar sobre Cancelar Pedido</t>
        </is>
      </c>
      <c r="D38" s="34" t="inlineStr">
        <is>
          <t>Validar que el estatus pasa a estado Cancelado</t>
        </is>
      </c>
      <c r="E38" s="34" t="n"/>
      <c r="F38" s="53" t="inlineStr">
        <is>
          <t>No cumple</t>
        </is>
      </c>
      <c r="G38" s="53" t="inlineStr">
        <is>
          <t>Se realizó correctamente la cancelación, sin emabrgo, nos mostro un error al querer regresar al menu de pedidos. Favor de revisar.</t>
        </is>
      </c>
      <c r="H38" s="53" t="inlineStr">
        <is>
          <t>Corregido</t>
        </is>
      </c>
      <c r="I38" s="54" t="n"/>
      <c r="J38" s="54" t="n"/>
      <c r="K38" s="54" t="n"/>
      <c r="L38" s="54" t="n"/>
      <c r="M38" s="54" t="n"/>
      <c r="N38" s="54" t="n"/>
      <c r="O38" s="55">
        <f>IF(M38&lt;&gt;"",M38,IF(K38&lt;&gt;"",K38,IF(I38&lt;&gt;"",I38,"")))</f>
        <v/>
      </c>
      <c r="P38" s="55">
        <f>IF(O38="","",IF(O38="PENDIENTE","Pendiente",IF(O38="NO EJECUTABLE","No ejecutable",IF(O38="VERIFICAR","Por verificar",IF(AND(F38="No cumple",O38="CUMPLE"),"Mejora",IF(AND(F38="No cumple",O38="PARCIAL"),"Mejora parcial",IF(AND(OR(F38="Cumple",F38="Sin ejecutar"),OR(O38="NO CUMPLE",O38="PARCIAL")),IF(F38="Cumple","Regresión","Falla nueva"),IF(AND(F38="No cumple",O38="NO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38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38 K13:K38 M13:M38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ESC-02 — Pedido PRG-Producción con complejidad y días show</t>
        </is>
      </c>
    </row>
    <row r="2" ht="15" customHeight="1" s="29">
      <c r="A2" s="45" t="inlineStr">
        <is>
          <t>Núm. original</t>
        </is>
      </c>
      <c r="B2" s="46" t="inlineStr">
        <is>
          <t>Escenario 2</t>
        </is>
      </c>
      <c r="I2" s="45" t="inlineStr">
        <is>
          <t>Pasos</t>
        </is>
      </c>
      <c r="J2" s="45">
        <f>COUNT(A13:A39)</f>
        <v/>
      </c>
    </row>
    <row r="3" ht="15" customHeight="1" s="29">
      <c r="A3" s="45" t="inlineStr">
        <is>
          <t>Módulo</t>
        </is>
      </c>
      <c r="B3" s="46" t="inlineStr">
        <is>
          <t>Pedidos</t>
        </is>
      </c>
      <c r="I3" s="45" t="inlineStr">
        <is>
          <t>Ejecutados (último)</t>
        </is>
      </c>
      <c r="J3" s="45">
        <f>COUNTIF(O13:O39,"?*")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un pedido PRG con complejidad y días de show: personal Staff, bloques por producto y presupuesto ligado a complejidad.</t>
        </is>
      </c>
      <c r="I4" s="45" t="inlineStr">
        <is>
          <t>CUMPLE (último)</t>
        </is>
      </c>
      <c r="J4" s="45">
        <f>COUNTIF(O13:O39,"CUMPLE")</f>
        <v/>
      </c>
    </row>
    <row r="5" ht="15" customHeight="1" s="29">
      <c r="A5" s="45" t="inlineStr">
        <is>
          <t>Funcionalidades</t>
        </is>
      </c>
      <c r="B5" s="46" t="inlineStr">
        <is>
          <t>Complejidad · duración en días de show · tipo de personal Staff · catálogo PRG · jornada · fase de evento · bloques · presupuesto día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S02</t>
        </is>
      </c>
    </row>
    <row r="8" ht="23.85" customHeight="1" s="29">
      <c r="A8" s="45" t="inlineStr">
        <is>
          <t>⚠ Calidad del caso</t>
        </is>
      </c>
      <c r="B8" s="48" t="inlineStr">
        <is>
          <t>Paso 5 esperado dice 'UN de seguridad' (copiado del Esc. 1). Paso 7 texto corrupto ('movi+E10:F10miento'). Paso 8 es Servicio Interno pero el esperado habla de Pedido. Paso 18: 'nos' probablemente es 'no'.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>
        <v>1</v>
      </c>
      <c r="C13" s="34" t="inlineStr">
        <is>
          <t>Crear un nuevo pedido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inlineStr">
        <is>
          <t>CUMPLE</t>
        </is>
      </c>
      <c r="J13" s="54" t="inlineStr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15" customHeight="1" s="29">
      <c r="A14" s="34" t="n">
        <v>2</v>
      </c>
      <c r="B14" s="34" t="n">
        <v>2</v>
      </c>
      <c r="C14" s="34" t="inlineStr">
        <is>
          <t>Seleccionar cliente Ocesa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inlineStr">
        <is>
          <t>CUMPLE</t>
        </is>
      </c>
      <c r="J14" s="54" t="inlineStr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>
        <v>3</v>
      </c>
      <c r="C15" s="34" t="inlineStr">
        <is>
          <t>Validar lista de contactos</t>
        </is>
      </c>
      <c r="D15" s="34" t="inlineStr">
        <is>
          <t>Los contactos mostrados deben pertenecer al cliente Ocesa</t>
        </is>
      </c>
      <c r="E15" s="34" t="n"/>
      <c r="F15" s="53" t="inlineStr">
        <is>
          <t>Cumple</t>
        </is>
      </c>
      <c r="G15" s="53" t="n"/>
      <c r="H15" s="53" t="n"/>
      <c r="I15" s="54" t="inlineStr">
        <is>
          <t>CUMPLE</t>
        </is>
      </c>
      <c r="J15" s="54" t="inlineStr">
        <is>
          <t>Contacto unico verificado en BD (Laura Mendez Ruiz, tc_contactos_cliente)</t>
        </is>
      </c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>
        <v>4</v>
      </c>
      <c r="C16" s="34" t="inlineStr">
        <is>
          <t>Seleccionar un evento</t>
        </is>
      </c>
      <c r="D16" s="34" t="n"/>
      <c r="E16" s="34" t="n"/>
      <c r="F16" s="53" t="inlineStr">
        <is>
          <t>Cumple</t>
        </is>
      </c>
      <c r="G16" s="53" t="n"/>
      <c r="H16" s="53" t="n"/>
      <c r="I16" s="54" t="inlineStr">
        <is>
          <t>CUMPLE</t>
        </is>
      </c>
      <c r="J16" s="54" t="inlineStr">
        <is>
          <t>Titulo del pedido autocompleta desde el evento y es editable. Fecha del evento NO autocompleta (UX_MENOR); se capturo a mano la fecha real del evento.</t>
        </is>
      </c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35.05" customHeight="1" s="29">
      <c r="A17" s="34" t="n">
        <v>5</v>
      </c>
      <c r="B17" s="34" t="n">
        <v>5</v>
      </c>
      <c r="C17" s="34" t="inlineStr">
        <is>
          <t>Seleccionar UN PRG</t>
        </is>
      </c>
      <c r="D17" s="34" t="inlineStr">
        <is>
          <t>El sistema despliega los PEPS de la UN de seguridad, y la sociedad pagadora (en este caso Lobo)</t>
        </is>
      </c>
      <c r="E17" s="37" t="inlineStr">
        <is>
          <t>Esperado copiado ('UN de seguridad').</t>
        </is>
      </c>
      <c r="F17" s="53" t="inlineStr">
        <is>
          <t>Cumple</t>
        </is>
      </c>
      <c r="G17" s="53" t="n"/>
      <c r="H17" s="53" t="n"/>
      <c r="I17" s="54" t="inlineStr">
        <is>
          <t>CUMPLE</t>
        </is>
      </c>
      <c r="J17" s="54" t="inlineStr">
        <is>
          <t>9 PEPs reales de PRG mostrados correctamente. Sociedad pagadora no autocompleta (gap ya conocido en CLAUDE.md Sec.11, no es de este caso).</t>
        </is>
      </c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>
        <v>6</v>
      </c>
      <c r="C18" s="34" t="inlineStr">
        <is>
          <t>Seleccionar el PEPS asociado a la UN</t>
        </is>
      </c>
      <c r="D18" s="34" t="inlineStr">
        <is>
          <t>El sistema me muestra el nombre y la dirección del  inmueble</t>
        </is>
      </c>
      <c r="E18" s="34" t="n"/>
      <c r="F18" s="53" t="inlineStr">
        <is>
          <t>Cumple</t>
        </is>
      </c>
      <c r="G18" s="53" t="n"/>
      <c r="H18" s="53" t="n"/>
      <c r="I18" s="54" t="inlineStr">
        <is>
          <t>PARCIAL</t>
        </is>
      </c>
      <c r="J18" s="54" t="inlineStr">
        <is>
          <t>Sitio/Lugar de cita no autocompletan: los 9 PEPs de PRG no tienen sociedad propia ni lugar predeterminado en BD (dato, no codigo).</t>
        </is>
      </c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>
        <v>7</v>
      </c>
      <c r="C19" s="34" t="inlineStr">
        <is>
          <t>Validar tipo de movimiento</t>
        </is>
      </c>
      <c r="D19" s="34" t="inlineStr">
        <is>
          <t>El sistema debe mostrar dos tipos de movi+E10:F10miento (Pedido y Servicio Interno)</t>
        </is>
      </c>
      <c r="E19" s="37" t="inlineStr">
        <is>
          <t>Texto corrupto en el esperado.</t>
        </is>
      </c>
      <c r="F19" s="53" t="inlineStr">
        <is>
          <t>No cumple</t>
        </is>
      </c>
      <c r="G19" s="53" t="inlineStr">
        <is>
          <t>Únicamnete muestra "pedido"</t>
        </is>
      </c>
      <c r="H19" s="53" t="inlineStr">
        <is>
          <t>Corregido</t>
        </is>
      </c>
      <c r="I19" s="54" t="inlineStr">
        <is>
          <t>NO CUMPLE</t>
        </is>
      </c>
      <c r="J19" s="54" t="inlineStr">
        <is>
          <t>H-002: UI real muestra 3 tipos (Orden de servicio / Pedido facturable a cliente / Servicio interno); ninguno se llama "Pedido" literal.</t>
        </is>
      </c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46.25" customHeight="1" s="29">
      <c r="A20" s="34" t="n">
        <v>8</v>
      </c>
      <c r="B20" s="34" t="n">
        <v>8</v>
      </c>
      <c r="C20" s="34" t="inlineStr">
        <is>
          <t>Seleccionar Tipo de movimiento Servicio Interno</t>
        </is>
      </c>
      <c r="D20" s="34" t="inlineStr">
        <is>
          <t>EL tipo Pedido se factura (validar posteriormente)</t>
        </is>
      </c>
      <c r="E20" s="37" t="inlineStr">
        <is>
          <t>Servicio Interno con esperado de Pedido.</t>
        </is>
      </c>
      <c r="F20" s="53" t="inlineStr">
        <is>
          <t>No cumple</t>
        </is>
      </c>
      <c r="G20" s="53" t="inlineStr">
        <is>
          <t>Al no poder seleccionar el tipo de movimiento no sabemos si afecta en el procedimiento.  Nos aparece que no es facturable, pero se puede cambiar.</t>
        </is>
      </c>
      <c r="H20" s="53" t="inlineStr">
        <is>
          <t>Corregido</t>
        </is>
      </c>
      <c r="I20" s="54" t="inlineStr">
        <is>
          <t>PARCIAL</t>
        </is>
      </c>
      <c r="J20" s="54" t="inlineStr">
        <is>
          <t>H-002: "Facturable" va embebido en el texto de la opcion elegida; no existe un campo separado editable.</t>
        </is>
      </c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23.85" customHeight="1" s="29">
      <c r="A21" s="34" t="n">
        <v>9</v>
      </c>
      <c r="B21" s="34" t="n">
        <v>9</v>
      </c>
      <c r="C21" s="34" t="inlineStr">
        <is>
          <t>Seleccionar Complejidad Foro Sol - 1 Día de Show</t>
        </is>
      </c>
      <c r="D21" s="34" t="inlineStr">
        <is>
          <t>Validar que el sistema sólo muestra las 6 complejidades del catálogo</t>
        </is>
      </c>
      <c r="E21" s="34" t="n"/>
      <c r="F21" s="53" t="inlineStr">
        <is>
          <t>No cumple</t>
        </is>
      </c>
      <c r="G21" s="53" t="inlineStr">
        <is>
          <t>únicamnete muestra 3 opciones del foro sol, y dos son iguales.</t>
        </is>
      </c>
      <c r="H21" s="53" t="inlineStr">
        <is>
          <t>Corregido</t>
        </is>
      </c>
      <c r="I21" s="54" t="inlineStr">
        <is>
          <t>CUMPLE</t>
        </is>
      </c>
      <c r="J21" s="54" t="inlineStr">
        <is>
          <t>6 complejidades reales confirmadas en combo, sin duplicados.</t>
        </is>
      </c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23.85" customHeight="1" s="29">
      <c r="A22" s="34" t="n">
        <v>10</v>
      </c>
      <c r="B22" s="34" t="n">
        <v>10</v>
      </c>
      <c r="C22" s="34" t="inlineStr">
        <is>
          <t>Indicar 1 día de show en el campo Duración del Evento</t>
        </is>
      </c>
      <c r="D22" s="34" t="n"/>
      <c r="E22" s="34" t="n"/>
      <c r="F22" s="53" t="inlineStr">
        <is>
          <t>Cumple</t>
        </is>
      </c>
      <c r="G22" s="53" t="n"/>
      <c r="H22" s="53" t="n"/>
      <c r="I22" s="54" t="inlineStr">
        <is>
          <t>CUMPLE</t>
        </is>
      </c>
      <c r="J22" s="54" t="inlineStr">
        <is>
          <t>Campo es compuesto (Tipo de duracion + Dias), no un unico "Duracion del Evento". Se uso Shows Sueltos + 1 dia.</t>
        </is>
      </c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15" customHeight="1" s="29">
      <c r="A23" s="34" t="n">
        <v>11</v>
      </c>
      <c r="B23" s="34" t="n">
        <v>11</v>
      </c>
      <c r="C23" s="34" t="inlineStr">
        <is>
          <t>En el campo Permitir Cancelar, seleccionar NO</t>
        </is>
      </c>
      <c r="D23" s="34" t="n"/>
      <c r="E23" s="34" t="n"/>
      <c r="F23" s="53" t="inlineStr">
        <is>
          <t>Cumple</t>
        </is>
      </c>
      <c r="G23" s="53" t="n"/>
      <c r="H23" s="53" t="n"/>
      <c r="I23" s="54" t="inlineStr">
        <is>
          <t>CUMPLE</t>
        </is>
      </c>
      <c r="J23" s="54" t="inlineStr">
        <is>
          <t>Click real en checkbox confirmado.</t>
        </is>
      </c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23.85" customHeight="1" s="29">
      <c r="A24" s="34" t="n">
        <v>12</v>
      </c>
      <c r="B24" s="34" t="n">
        <v>12</v>
      </c>
      <c r="C24" s="34" t="inlineStr">
        <is>
          <t>Pulsar Aceptar</t>
        </is>
      </c>
      <c r="D24" s="34" t="inlineStr">
        <is>
          <t>El sistema genera un número consecutivo de pedido.</t>
        </is>
      </c>
      <c r="E24" s="34" t="n"/>
      <c r="F24" s="53" t="inlineStr">
        <is>
          <t>Cumple</t>
        </is>
      </c>
      <c r="G24" s="53" t="n"/>
      <c r="H24" s="53" t="n"/>
      <c r="I24" s="54" t="inlineStr">
        <is>
          <t>CUMPLE</t>
        </is>
      </c>
      <c r="J24" s="54" t="inlineStr">
        <is>
          <t>Precondicion critica VERIFICADA EN BD (pedido #200): tipo_complejidad_id, tipo_duracion_id, duracion_dias=1 y permitir_cancelaciones=false guardados correctamente.</t>
        </is>
      </c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15" customHeight="1" s="29">
      <c r="A25" s="56" t="n"/>
      <c r="B25" s="56" t="n"/>
      <c r="C25" s="57" t="inlineStr">
        <is>
          <t>Pedido Detalle</t>
        </is>
      </c>
      <c r="D25" s="56" t="n"/>
      <c r="E25" s="56" t="n"/>
      <c r="F25" s="56" t="n"/>
      <c r="G25" s="56" t="n"/>
      <c r="H25" s="56" t="n"/>
      <c r="I25" s="56" t="inlineStr">
        <is>
          <t>NO CUMPLE</t>
        </is>
      </c>
      <c r="J25" s="56" t="inlineStr">
        <is>
          <t>H-003: no existe texto "Staff"/"Operativo" en ningun campo. Catalogo real tiene 3 categorias (freelance/interno/planta).</t>
        </is>
      </c>
      <c r="K25" s="56" t="n"/>
      <c r="L25" s="56" t="n"/>
      <c r="M25" s="56" t="n"/>
      <c r="N25" s="56" t="n"/>
      <c r="O25" s="56" t="n"/>
      <c r="P25" s="56" t="n"/>
    </row>
    <row r="26" ht="15" customHeight="1" s="29">
      <c r="A26" s="34" t="n">
        <v>13</v>
      </c>
      <c r="B26" s="34" t="n">
        <v>13</v>
      </c>
      <c r="C26" s="34" t="inlineStr">
        <is>
          <t>Tipo de personal</t>
        </is>
      </c>
      <c r="D26" s="34" t="inlineStr">
        <is>
          <t>Validar que muestra Staff y Operativo</t>
        </is>
      </c>
      <c r="E26" s="34" t="n"/>
      <c r="F26" s="53" t="inlineStr">
        <is>
          <t>Cumple</t>
        </is>
      </c>
      <c r="G26" s="53" t="n"/>
      <c r="H26" s="53" t="n"/>
      <c r="I26" s="54" t="inlineStr">
        <is>
          <t>CUMPLE</t>
        </is>
      </c>
      <c r="J26" s="54" t="inlineStr">
        <is>
          <t>H-003: "Personal de planta" (clave=staff, el equivalente funcional real de Staff) SI es seleccionable y activa el gating real de negocio -- verificado releyendo el codigo y reprobando en vivo.</t>
        </is>
      </c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15" customHeight="1" s="29">
      <c r="A27" s="34" t="n">
        <v>14</v>
      </c>
      <c r="B27" s="34" t="n">
        <v>14</v>
      </c>
      <c r="C27" s="34" t="inlineStr">
        <is>
          <t>Seleccionar Staff como Tipo de Personal</t>
        </is>
      </c>
      <c r="D27" s="34" t="n"/>
      <c r="E27" s="34" t="n"/>
      <c r="F27" s="53" t="inlineStr">
        <is>
          <t>Cumple</t>
        </is>
      </c>
      <c r="G27" s="53" t="n"/>
      <c r="H27" s="53" t="n"/>
      <c r="I27" s="54" t="inlineStr">
        <is>
          <t>NO CUMPLE</t>
        </is>
      </c>
      <c r="J27" s="54" t="inlineStr">
        <is>
          <t>H-005: con Staff (clave real) seleccionado, el combo de Producto queda VACIO -- ningun puesto matricial de PRG tiene tarifa en tp_sueldos_matriciales (0 filas confirmadas en BD).</t>
        </is>
      </c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57.45" customHeight="1" s="29">
      <c r="A28" s="34" t="n">
        <v>15</v>
      </c>
      <c r="B28" s="34" t="n">
        <v>15</v>
      </c>
      <c r="C28" s="34" t="inlineStr">
        <is>
          <t>Producto: Asistente Operador PRG - IN</t>
        </is>
      </c>
      <c r="D28" s="34" t="inlineStr">
        <is>
          <t>Validar que el catálogo mostrado es el de PRG</t>
        </is>
      </c>
      <c r="E28" s="34" t="n"/>
      <c r="F28" s="53" t="inlineStr">
        <is>
          <t>No cumple</t>
        </is>
      </c>
      <c r="G28" s="53" t="inlineStr">
        <is>
          <t>El producto asistente operador PRG-IN no aparece si tomamos el tipo de personal staff, pero si tomamos el tipo de personal operativo sí aparece la opción</t>
        </is>
      </c>
      <c r="H28" s="53" t="inlineStr">
        <is>
          <t>BASE DE DATOS</t>
        </is>
      </c>
      <c r="I28" s="54" t="inlineStr">
        <is>
          <t>NO EJECUTABLE</t>
        </is>
      </c>
      <c r="J28" s="54" t="inlineStr">
        <is>
          <t>H-005: bloqueado, no hay producto Staff seleccionable para poder validar la jornada.</t>
        </is>
      </c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23.85" customHeight="1" s="29">
      <c r="A29" s="34" t="n">
        <v>16</v>
      </c>
      <c r="B29" s="34" t="n">
        <v>16</v>
      </c>
      <c r="C29" s="34" t="inlineStr">
        <is>
          <t>Validar la jornada</t>
        </is>
      </c>
      <c r="D29" s="34" t="inlineStr">
        <is>
          <t>Debe mostrar 1 turno por 12 horas, que es el turno asociado al producto</t>
        </is>
      </c>
      <c r="E29" s="34" t="n"/>
      <c r="F29" s="53" t="inlineStr">
        <is>
          <t>No cumple</t>
        </is>
      </c>
      <c r="G29" s="53" t="inlineStr">
        <is>
          <t>En ninguna parte aparece los turnos y las horas.</t>
        </is>
      </c>
      <c r="H29" s="53" t="inlineStr">
        <is>
          <t>Corregido</t>
        </is>
      </c>
      <c r="I29" s="54" t="inlineStr">
        <is>
          <t>PARCIAL</t>
        </is>
      </c>
      <c r="J29" s="54" t="inlineStr">
        <is>
          <t>H-005: la UI SI acepta fecha de cita y liberacion sin error, pero el renglon nunca se persiste por la causa raiz de H-005.</t>
        </is>
      </c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  <row r="30" ht="15" customHeight="1" s="29">
      <c r="A30" s="34" t="n">
        <v>17</v>
      </c>
      <c r="B30" s="34" t="n">
        <v>17</v>
      </c>
      <c r="C30" s="34" t="inlineStr">
        <is>
          <t>Seleccionar una fecha de cita y de liberación</t>
        </is>
      </c>
      <c r="D30" s="34" t="n"/>
      <c r="E30" s="34" t="n"/>
      <c r="F30" s="53" t="inlineStr">
        <is>
          <t>Cumple</t>
        </is>
      </c>
      <c r="G30" s="53" t="n"/>
      <c r="H30" s="53" t="n"/>
      <c r="I30" s="54" t="inlineStr">
        <is>
          <t>CUMPLE</t>
        </is>
      </c>
      <c r="J30" s="54" t="inlineStr">
        <is>
          <t>Combo Presentacion por producto solo con "-- sin presentacion --", confirmado 2 veces.</t>
        </is>
      </c>
      <c r="K30" s="54" t="n"/>
      <c r="L30" s="54" t="n"/>
      <c r="M30" s="54" t="n"/>
      <c r="N30" s="54" t="n"/>
      <c r="O30" s="55">
        <f>IF(M30&lt;&gt;"",M30,IF(K30&lt;&gt;"",K30,IF(I30&lt;&gt;"",I30,"")))</f>
        <v/>
      </c>
      <c r="P30" s="55">
        <f>IF(O30="","",IF(O30="PENDIENTE","Pendiente",IF(O30="NO EJECUTABLE","No ejecutable",IF(O30="VERIFICAR","Por verificar",IF(AND(F30="No cumple",O30="CUMPLE"),"Mejora",IF(AND(F30="No cumple",O30="PARCIAL"),"Mejora parcial",IF(AND(OR(F30="Cumple",F30="Sin ejecutar"),OR(O30="NO CUMPLE",O30="PARCIAL")),IF(F30="Cumple","Regresión","Falla nueva"),IF(AND(F30="No cumple",O30="NO CUMPLE"),"Sigue fallando","Se mantiene"))))))))</f>
        <v/>
      </c>
    </row>
    <row r="31" ht="23.85" customHeight="1" s="29">
      <c r="A31" s="34" t="n">
        <v>18</v>
      </c>
      <c r="B31" s="34" t="n">
        <v>18</v>
      </c>
      <c r="C31" s="34" t="inlineStr">
        <is>
          <t>Presentación por producto</t>
        </is>
      </c>
      <c r="D31" s="34" t="inlineStr">
        <is>
          <t>Validar que nos se muestran presentaciones</t>
        </is>
      </c>
      <c r="E31" s="37" t="inlineStr">
        <is>
          <t>'nos' → probablemente 'no'.</t>
        </is>
      </c>
      <c r="F31" s="53" t="inlineStr">
        <is>
          <t>Cumple</t>
        </is>
      </c>
      <c r="G31" s="53" t="inlineStr">
        <is>
          <t>Aumo que en vez de "nos" hace referecnia a no</t>
        </is>
      </c>
      <c r="H31" s="53" t="n"/>
      <c r="I31" s="54" t="inlineStr">
        <is>
          <t>NO EJECUTABLE</t>
        </is>
      </c>
      <c r="J31" s="54" t="inlineStr">
        <is>
          <t>H-005: no se pudo probar con un producto Staff real; inconcluso respecto al auto-seleccionado de "No Aplica".</t>
        </is>
      </c>
      <c r="K31" s="54" t="n"/>
      <c r="L31" s="54" t="n"/>
      <c r="M31" s="54" t="n"/>
      <c r="N31" s="54" t="n"/>
      <c r="O31" s="55">
        <f>IF(M31&lt;&gt;"",M31,IF(K31&lt;&gt;"",K31,IF(I31&lt;&gt;"",I31,"")))</f>
        <v/>
      </c>
      <c r="P31" s="55">
        <f>IF(O31="","",IF(O31="PENDIENTE","Pendiente",IF(O31="NO EJECUTABLE","No ejecutable",IF(O31="VERIFICAR","Por verificar",IF(AND(F31="No cumple",O31="CUMPLE"),"Mejora",IF(AND(F31="No cumple",O31="PARCIAL"),"Mejora parcial",IF(AND(OR(F31="Cumple",F31="Sin ejecutar"),OR(O31="NO CUMPLE",O31="PARCIAL")),IF(F31="Cumple","Regresión","Falla nueva"),IF(AND(F31="No cumple",O31="NO CUMPLE"),"Sigue fallando","Se mantiene"))))))))</f>
        <v/>
      </c>
    </row>
    <row r="32" ht="46.25" customHeight="1" s="29">
      <c r="A32" s="34" t="n">
        <v>19</v>
      </c>
      <c r="B32" s="34" t="n">
        <v>19</v>
      </c>
      <c r="C32" s="34" t="inlineStr">
        <is>
          <t>Fase del evento</t>
        </is>
      </c>
      <c r="D32" s="34" t="inlineStr">
        <is>
          <t>Al ser Staff con complejidad y días de show debe mostrar No Aplica</t>
        </is>
      </c>
      <c r="E32" s="34" t="n"/>
      <c r="F32" s="53" t="inlineStr">
        <is>
          <t>No cumple</t>
        </is>
      </c>
      <c r="G32" s="53" t="inlineStr">
        <is>
          <t>En efecto noa plica, pero tanto en el escenario 1 y 2 aparecía así. Además se continuó conpersonal operativo y no de staff</t>
        </is>
      </c>
      <c r="H32" s="53" t="inlineStr">
        <is>
          <t>EN PROCESO</t>
        </is>
      </c>
      <c r="I32" s="54" t="inlineStr">
        <is>
          <t>NO EJECUTABLE</t>
        </is>
      </c>
      <c r="J32" s="54" t="inlineStr">
        <is>
          <t>H-005 / H-006 (ver CLAUDE.md Sec.11): con producto sin puesto el sistema SI valida claramente "Elegi un producto (define el puesto)" -- no es falla silenciosa. Con Staff real, el combo esta vacio por H-005.</t>
        </is>
      </c>
      <c r="K32" s="54" t="n"/>
      <c r="L32" s="54" t="n"/>
      <c r="M32" s="54" t="n"/>
      <c r="N32" s="54" t="n"/>
      <c r="O32" s="55">
        <f>IF(M32&lt;&gt;"",M32,IF(K32&lt;&gt;"",K32,IF(I32&lt;&gt;"",I32,"")))</f>
        <v/>
      </c>
      <c r="P32" s="55">
        <f>IF(O32="","",IF(O32="PENDIENTE","Pendiente",IF(O32="NO EJECUTABLE","No ejecutable",IF(O32="VERIFICAR","Por verificar",IF(AND(F32="No cumple",O32="CUMPLE"),"Mejora",IF(AND(F32="No cumple",O32="PARCIAL"),"Mejora parcial",IF(AND(OR(F32="Cumple",F32="Sin ejecutar"),OR(O32="NO CUMPLE",O32="PARCIAL")),IF(F32="Cumple","Regresión","Falla nueva"),IF(AND(F32="No cumple",O32="NO CUMPLE"),"Sigue fallando","Se mantiene"))))))))</f>
        <v/>
      </c>
    </row>
    <row r="33" ht="35.05" customHeight="1" s="29">
      <c r="A33" s="34" t="n">
        <v>20</v>
      </c>
      <c r="B33" s="34" t="n">
        <v>20</v>
      </c>
      <c r="C33" s="34" t="inlineStr">
        <is>
          <t>Agregar Registro</t>
        </is>
      </c>
      <c r="D33" s="34" t="inlineStr">
        <is>
          <t>El sistema no lo permite, ya que al ser puestos de Staff, cada producto debe ir en un bloque nuevo</t>
        </is>
      </c>
      <c r="E33" s="34" t="n"/>
      <c r="F33" s="53" t="inlineStr">
        <is>
          <t>Sin ejecutar</t>
        </is>
      </c>
      <c r="G33" s="53" t="n"/>
      <c r="H33" s="53" t="n"/>
      <c r="I33" s="54" t="inlineStr">
        <is>
          <t>NO EJECUTABLE</t>
        </is>
      </c>
      <c r="J33" s="54" t="inlineStr">
        <is>
          <t>No se encontro control de "Bloque" independiente visible (solo "+ Agregar fecha al bloque" dentro del mismo renglon). No se pudo profundizar por H-005.</t>
        </is>
      </c>
      <c r="K33" s="54" t="n"/>
      <c r="L33" s="54" t="n"/>
      <c r="M33" s="54" t="n"/>
      <c r="N33" s="54" t="n"/>
      <c r="O33" s="55">
        <f>IF(M33&lt;&gt;"",M33,IF(K33&lt;&gt;"",K33,IF(I33&lt;&gt;"",I33,"")))</f>
        <v/>
      </c>
      <c r="P33" s="55">
        <f>IF(O33="","",IF(O33="PENDIENTE","Pendiente",IF(O33="NO EJECUTABLE","No ejecutable",IF(O33="VERIFICAR","Por verificar",IF(AND(F33="No cumple",O33="CUMPLE"),"Mejora",IF(AND(F33="No cumple",O33="PARCIAL"),"Mejora parcial",IF(AND(OR(F33="Cumple",F33="Sin ejecutar"),OR(O33="NO CUMPLE",O33="PARCIAL")),IF(F33="Cumple","Regresión","Falla nueva"),IF(AND(F33="No cumple",O33="NO CUMPLE"),"Sigue fallando","Se mantiene"))))))))</f>
        <v/>
      </c>
    </row>
    <row r="34" ht="15" customHeight="1" s="29">
      <c r="A34" s="34" t="n">
        <v>21</v>
      </c>
      <c r="B34" s="34" t="n">
        <v>21</v>
      </c>
      <c r="C34" s="34" t="inlineStr">
        <is>
          <t>Seleccionar nuevo Bloque</t>
        </is>
      </c>
      <c r="D34" s="34" t="n"/>
      <c r="E34" s="34" t="n"/>
      <c r="F34" s="53" t="inlineStr">
        <is>
          <t>Sin ejecutar</t>
        </is>
      </c>
      <c r="G34" s="53" t="n"/>
      <c r="H34" s="53" t="n"/>
      <c r="I34" s="54" t="inlineStr">
        <is>
          <t>NO EJECUTABLE</t>
        </is>
      </c>
      <c r="J34" s="54" t="inlineStr">
        <is>
          <t>H-005: sin producto Staff seleccionable no hay presupuesto que leer.</t>
        </is>
      </c>
      <c r="K34" s="54" t="n"/>
      <c r="L34" s="54" t="n"/>
      <c r="M34" s="54" t="n"/>
      <c r="N34" s="54" t="n"/>
      <c r="O34" s="55">
        <f>IF(M34&lt;&gt;"",M34,IF(K34&lt;&gt;"",K34,IF(I34&lt;&gt;"",I34,"")))</f>
        <v/>
      </c>
      <c r="P34" s="55">
        <f>IF(O34="","",IF(O34="PENDIENTE","Pendiente",IF(O34="NO EJECUTABLE","No ejecutable",IF(O34="VERIFICAR","Por verificar",IF(AND(F34="No cumple",O34="CUMPLE"),"Mejora",IF(AND(F34="No cumple",O34="PARCIAL"),"Mejora parcial",IF(AND(OR(F34="Cumple",F34="Sin ejecutar"),OR(O34="NO CUMPLE",O34="PARCIAL")),IF(F34="Cumple","Regresión","Falla nueva"),IF(AND(F34="No cumple",O34="NO CUMPLE"),"Sigue fallando","Se mantiene"))))))))</f>
        <v/>
      </c>
    </row>
    <row r="35" ht="23.85" customHeight="1" s="29">
      <c r="A35" s="34" t="n">
        <v>22</v>
      </c>
      <c r="B35" s="34" t="n">
        <v>22</v>
      </c>
      <c r="C35" s="34" t="inlineStr">
        <is>
          <t>Agregar Registro</t>
        </is>
      </c>
      <c r="D35" s="34" t="inlineStr">
        <is>
          <t>Validar que el presupuesto día va ligado a la complejidad y los días de show</t>
        </is>
      </c>
      <c r="E35" s="34" t="n"/>
      <c r="F35" s="53" t="inlineStr">
        <is>
          <t>Sin ejecutar</t>
        </is>
      </c>
      <c r="G35" s="53" t="n"/>
      <c r="H35" s="53" t="n"/>
      <c r="I35" s="54" t="inlineStr">
        <is>
          <t>NO EJECUTABLE</t>
        </is>
      </c>
      <c r="J35" s="54" t="inlineStr">
        <is>
          <t>H-005: el modal abre correctamente pero ninguna alta se completa.</t>
        </is>
      </c>
      <c r="K35" s="54" t="n"/>
      <c r="L35" s="54" t="n"/>
      <c r="M35" s="54" t="n"/>
      <c r="N35" s="54" t="n"/>
      <c r="O35" s="55">
        <f>IF(M35&lt;&gt;"",M35,IF(K35&lt;&gt;"",K35,IF(I35&lt;&gt;"",I35,"")))</f>
        <v/>
      </c>
      <c r="P35" s="55">
        <f>IF(O35="","",IF(O35="PENDIENTE","Pendiente",IF(O35="NO EJECUTABLE","No ejecutable",IF(O35="VERIFICAR","Por verificar",IF(AND(F35="No cumple",O35="CUMPLE"),"Mejora",IF(AND(F35="No cumple",O35="PARCIAL"),"Mejora parcial",IF(AND(OR(F35="Cumple",F35="Sin ejecutar"),OR(O35="NO CUMPLE",O35="PARCIAL")),IF(F35="Cumple","Regresión","Falla nueva"),IF(AND(F35="No cumple",O35="NO CUMPLE"),"Sigue fallando","Se mantiene"))))))))</f>
        <v/>
      </c>
    </row>
    <row r="36" ht="15" customHeight="1" s="29">
      <c r="A36" s="34" t="n">
        <v>23</v>
      </c>
      <c r="B36" s="34" t="n">
        <v>23</v>
      </c>
      <c r="C36" s="34" t="inlineStr">
        <is>
          <t>Agregar nuevo pedido detalle</t>
        </is>
      </c>
      <c r="D36" s="34" t="n"/>
      <c r="E36" s="34" t="n"/>
      <c r="F36" s="53" t="inlineStr">
        <is>
          <t>Sin ejecutar</t>
        </is>
      </c>
      <c r="G36" s="53" t="n"/>
      <c r="H36" s="53" t="n"/>
      <c r="I36" s="54" t="inlineStr">
        <is>
          <t>NO CUMPLE</t>
        </is>
      </c>
      <c r="J36" s="54" t="inlineStr">
        <is>
          <t>H-005: mismo bloqueo con "Asistente Aux A PRG" (confirmado vigente=true, UN=PRG, matricial=true en BD, pero sin tarifa matricial).</t>
        </is>
      </c>
      <c r="K36" s="54" t="n"/>
      <c r="L36" s="54" t="n"/>
      <c r="M36" s="54" t="n"/>
      <c r="N36" s="54" t="n"/>
      <c r="O36" s="55">
        <f>IF(M36&lt;&gt;"",M36,IF(K36&lt;&gt;"",K36,IF(I36&lt;&gt;"",I36,"")))</f>
        <v/>
      </c>
      <c r="P36" s="55">
        <f>IF(O36="","",IF(O36="PENDIENTE","Pendiente",IF(O36="NO EJECUTABLE","No ejecutable",IF(O36="VERIFICAR","Por verificar",IF(AND(F36="No cumple",O36="CUMPLE"),"Mejora",IF(AND(F36="No cumple",O36="PARCIAL"),"Mejora parcial",IF(AND(OR(F36="Cumple",F36="Sin ejecutar"),OR(O36="NO CUMPLE",O36="PARCIAL")),IF(F36="Cumple","Regresión","Falla nueva"),IF(AND(F36="No cumple",O36="NO CUMPLE"),"Sigue fallando","Se mantiene"))))))))</f>
        <v/>
      </c>
    </row>
    <row r="37" ht="15" customHeight="1" s="29">
      <c r="A37" s="34" t="n">
        <v>24</v>
      </c>
      <c r="B37" s="34" t="n">
        <v>24</v>
      </c>
      <c r="C37" s="34" t="inlineStr">
        <is>
          <t>Seleccionar producto: Asistente Auxiliar A</t>
        </is>
      </c>
      <c r="D37" s="34" t="n"/>
      <c r="E37" s="34" t="n"/>
      <c r="F37" s="53" t="inlineStr">
        <is>
          <t>Sin ejecutar</t>
        </is>
      </c>
      <c r="G37" s="53" t="n"/>
      <c r="H37" s="53" t="n"/>
      <c r="I37" s="54" t="inlineStr">
        <is>
          <t>NO EJECUTABLE</t>
        </is>
      </c>
      <c r="J37" s="54" t="inlineStr">
        <is>
          <t>H-005: mismo hallazgo que paso 21.</t>
        </is>
      </c>
      <c r="K37" s="54" t="n"/>
      <c r="L37" s="54" t="n"/>
      <c r="M37" s="54" t="n"/>
      <c r="N37" s="54" t="n"/>
      <c r="O37" s="55">
        <f>IF(M37&lt;&gt;"",M37,IF(K37&lt;&gt;"",K37,IF(I37&lt;&gt;"",I37,"")))</f>
        <v/>
      </c>
      <c r="P37" s="55">
        <f>IF(O37="","",IF(O37="PENDIENTE","Pendiente",IF(O37="NO EJECUTABLE","No ejecutable",IF(O37="VERIFICAR","Por verificar",IF(AND(F37="No cumple",O37="CUMPLE"),"Mejora",IF(AND(F37="No cumple",O37="PARCIAL"),"Mejora parcial",IF(AND(OR(F37="Cumple",F37="Sin ejecutar"),OR(O37="NO CUMPLE",O37="PARCIAL")),IF(F37="Cumple","Regresión","Falla nueva"),IF(AND(F37="No cumple",O37="NO CUMPLE"),"Sigue fallando","Se mantiene"))))))))</f>
        <v/>
      </c>
    </row>
    <row r="38" ht="15" customHeight="1" s="29">
      <c r="A38" s="34" t="n">
        <v>25</v>
      </c>
      <c r="B38" s="34" t="n">
        <v>25</v>
      </c>
      <c r="C38" s="34" t="inlineStr">
        <is>
          <t>Seleccionar nuevo Bloque</t>
        </is>
      </c>
      <c r="D38" s="34" t="n"/>
      <c r="E38" s="34" t="n"/>
      <c r="F38" s="53" t="inlineStr">
        <is>
          <t>Sin ejecutar</t>
        </is>
      </c>
      <c r="G38" s="53" t="n"/>
      <c r="H38" s="53" t="n"/>
      <c r="I38" s="54" t="inlineStr">
        <is>
          <t>NO EJECUTABLE</t>
        </is>
      </c>
      <c r="J38" s="54" t="inlineStr">
        <is>
          <t>H-005: VERIFICADO EN BD -- te_pedidos_detalle con 0 filas para folio 200 y folio 199. No hay 2 bloques que comparar.</t>
        </is>
      </c>
      <c r="K38" s="54" t="n"/>
      <c r="L38" s="54" t="n"/>
      <c r="M38" s="54" t="n"/>
      <c r="N38" s="54" t="n"/>
      <c r="O38" s="55">
        <f>IF(M38&lt;&gt;"",M38,IF(K38&lt;&gt;"",K38,IF(I38&lt;&gt;"",I38,"")))</f>
        <v/>
      </c>
      <c r="P38" s="55">
        <f>IF(O38="","",IF(O38="PENDIENTE","Pendiente",IF(O38="NO EJECUTABLE","No ejecutable",IF(O38="VERIFICAR","Por verificar",IF(AND(F38="No cumple",O38="CUMPLE"),"Mejora",IF(AND(F38="No cumple",O38="PARCIAL"),"Mejora parcial",IF(AND(OR(F38="Cumple",F38="Sin ejecutar"),OR(O38="NO CUMPLE",O38="PARCIAL")),IF(F38="Cumple","Regresión","Falla nueva"),IF(AND(F38="No cumple",O38="NO CUMPLE"),"Sigue fallando","Se mantiene"))))))))</f>
        <v/>
      </c>
    </row>
    <row r="39" ht="23.85" customHeight="1" s="29">
      <c r="A39" s="34" t="n">
        <v>26</v>
      </c>
      <c r="B39" s="34" t="n">
        <v>26</v>
      </c>
      <c r="C39" s="34" t="inlineStr">
        <is>
          <t>Agregar Registro</t>
        </is>
      </c>
      <c r="D39" s="34" t="inlineStr">
        <is>
          <t>Validar que se ha creado el nuevo bloque con el producto y los montos</t>
        </is>
      </c>
      <c r="E39" s="34" t="n"/>
      <c r="F39" s="53" t="inlineStr">
        <is>
          <t>Sin ejecutar</t>
        </is>
      </c>
      <c r="G39" s="53" t="n"/>
      <c r="H39" s="53" t="n"/>
      <c r="I39" s="54" t="n"/>
      <c r="J39" s="54" t="n"/>
      <c r="K39" s="54" t="n"/>
      <c r="L39" s="54" t="n"/>
      <c r="M39" s="54" t="n"/>
      <c r="N39" s="54" t="n"/>
      <c r="O39" s="55">
        <f>IF(M39&lt;&gt;"",M39,IF(K39&lt;&gt;"",K39,IF(I39&lt;&gt;"",I39,"")))</f>
        <v/>
      </c>
      <c r="P39" s="55">
        <f>IF(O39="","",IF(O39="PENDIENTE","Pendiente",IF(O39="NO EJECUTABLE","No ejecutable",IF(O39="VERIFICAR","Por verificar",IF(AND(F39="No cumple",O39="CUMPLE"),"Mejora",IF(AND(F39="No cumple",O39="PARCIAL"),"Mejora parcial",IF(AND(OR(F39="Cumple",F39="Sin ejecutar"),OR(O39="NO CUMPLE",O39="PARCIAL")),IF(F39="Cumple","Regresión","Falla nueva"),IF(AND(F39="No cumple",O39="NO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39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39 K13:K39 M13:M39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ESC-03 — Pedido PRG-Producción con complejidad y fase de evento</t>
        </is>
      </c>
    </row>
    <row r="2" ht="15" customHeight="1" s="29">
      <c r="A2" s="45" t="inlineStr">
        <is>
          <t>Núm. original</t>
        </is>
      </c>
      <c r="B2" s="46" t="inlineStr">
        <is>
          <t>Escenario 3</t>
        </is>
      </c>
      <c r="I2" s="45" t="inlineStr">
        <is>
          <t>Pasos</t>
        </is>
      </c>
      <c r="J2" s="45">
        <f>COUNT(A13:A45)</f>
        <v/>
      </c>
    </row>
    <row r="3" ht="15" customHeight="1" s="29">
      <c r="A3" s="45" t="inlineStr">
        <is>
          <t>Módulo</t>
        </is>
      </c>
      <c r="B3" s="46" t="inlineStr">
        <is>
          <t>Pedidos</t>
        </is>
      </c>
      <c r="I3" s="45" t="inlineStr">
        <is>
          <t>Ejecutados (último)</t>
        </is>
      </c>
      <c r="J3" s="45">
        <f>COUNTIF(O13:O45,"?*")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un pedido PRG sin complejidad con varios detalles por fase de evento y arrastre de valores del detalle anterior.</t>
        </is>
      </c>
      <c r="I4" s="45" t="inlineStr">
        <is>
          <t>CUMPLE (último)</t>
        </is>
      </c>
      <c r="J4" s="45">
        <f>COUNTIF(O13:O45,"CUMPLE")</f>
        <v/>
      </c>
    </row>
    <row r="5" ht="15" customHeight="1" s="29">
      <c r="A5" s="45" t="inlineStr">
        <is>
          <t>Funcionalidades</t>
        </is>
      </c>
      <c r="B5" s="46" t="inlineStr">
        <is>
          <t>Sin complejidad → solo Operativo · catálogo PRG · fases (Preparación, Montaje, Show, Desmontaje) · nuevo bloque por fase · valores heredados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S03</t>
        </is>
      </c>
    </row>
    <row r="8" ht="15" customHeight="1" s="29">
      <c r="A8" s="45" t="inlineStr">
        <is>
          <t>⚠ Calidad del caso</t>
        </is>
      </c>
      <c r="B8" s="48" t="inlineStr">
        <is>
          <t>Paso 5 marcado Cumple y No cumple a la vez; esperado dice 'UN de seguridad'. Paso 8: Servicio Interno con esperado de Pedido.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>
        <v>1</v>
      </c>
      <c r="C13" s="34" t="inlineStr">
        <is>
          <t>Crear un nuevo pedido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15" customHeight="1" s="29">
      <c r="A14" s="34" t="n">
        <v>2</v>
      </c>
      <c r="B14" s="34" t="n">
        <v>2</v>
      </c>
      <c r="C14" s="34" t="inlineStr">
        <is>
          <t>Seleccionar cliente Ocesa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>
        <v>3</v>
      </c>
      <c r="C15" s="34" t="inlineStr">
        <is>
          <t>Validar lista de contactos</t>
        </is>
      </c>
      <c r="D15" s="34" t="inlineStr">
        <is>
          <t>Los contactos mostrados deben pertenecer al cliente Ocesa</t>
        </is>
      </c>
      <c r="E15" s="34" t="n"/>
      <c r="F15" s="53" t="inlineStr">
        <is>
          <t>Cumple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>
        <v>4</v>
      </c>
      <c r="C16" s="34" t="inlineStr">
        <is>
          <t>Seleccionar un evento</t>
        </is>
      </c>
      <c r="D16" s="34" t="n"/>
      <c r="E16" s="34" t="n"/>
      <c r="F16" s="53" t="inlineStr">
        <is>
          <t>Cumple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35.05" customHeight="1" s="29">
      <c r="A17" s="34" t="n">
        <v>5</v>
      </c>
      <c r="B17" s="34" t="n">
        <v>5</v>
      </c>
      <c r="C17" s="34" t="inlineStr">
        <is>
          <t>Seleccionar UN PRG</t>
        </is>
      </c>
      <c r="D17" s="34" t="inlineStr">
        <is>
          <t>El sistema despliega los PEPS de la UN de seguridad, y la sociedad pagadora (en este caso Lobo)</t>
        </is>
      </c>
      <c r="E17" s="37" t="inlineStr">
        <is>
          <t>Marcado Cumple y No cumple; esperado copiado.</t>
        </is>
      </c>
      <c r="F17" s="53" t="inlineStr">
        <is>
          <t>Ambos marcados</t>
        </is>
      </c>
      <c r="G17" s="53" t="inlineStr">
        <is>
          <t>La sociedad pagadora por dafult está con ID 10</t>
        </is>
      </c>
      <c r="H17" s="53" t="inlineStr">
        <is>
          <t>Corregido</t>
        </is>
      </c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>
        <v>6</v>
      </c>
      <c r="C18" s="34" t="inlineStr">
        <is>
          <t>Seleccionar el PEPS asociado a la UN</t>
        </is>
      </c>
      <c r="D18" s="34" t="inlineStr">
        <is>
          <t>El sistema me muestra el nombre y la dirección del  inmueble</t>
        </is>
      </c>
      <c r="E18" s="34" t="n"/>
      <c r="F18" s="53" t="inlineStr">
        <is>
          <t>Cumple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>
        <v>7</v>
      </c>
      <c r="C19" s="34" t="inlineStr">
        <is>
          <t>Validar tipo de movimiento</t>
        </is>
      </c>
      <c r="D19" s="34" t="inlineStr">
        <is>
          <t>El sistema debe mostrar dos tipos de movimiento (Pedido y Servicio Interno)</t>
        </is>
      </c>
      <c r="E19" s="34" t="n"/>
      <c r="F19" s="53" t="inlineStr">
        <is>
          <t>No cumple</t>
        </is>
      </c>
      <c r="G19" s="53" t="inlineStr">
        <is>
          <t>Únicamnete muestra "pedido"</t>
        </is>
      </c>
      <c r="H19" s="53" t="inlineStr">
        <is>
          <t>Corregido</t>
        </is>
      </c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>
        <v>8</v>
      </c>
      <c r="C20" s="34" t="inlineStr">
        <is>
          <t>Seleccionar Tipo de movimiento Servicio Interno</t>
        </is>
      </c>
      <c r="D20" s="34" t="inlineStr">
        <is>
          <t>EL tipo Pedido se factura (validar posteriormente)</t>
        </is>
      </c>
      <c r="E20" s="37" t="inlineStr">
        <is>
          <t>Servicio Interno con esperado de Pedido.</t>
        </is>
      </c>
      <c r="F20" s="53" t="inlineStr">
        <is>
          <t>No cumple</t>
        </is>
      </c>
      <c r="G20" s="53" t="inlineStr">
        <is>
          <t>Factura está determinado como de No por default</t>
        </is>
      </c>
      <c r="H20" s="53" t="inlineStr">
        <is>
          <t>Corregido</t>
        </is>
      </c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15" customHeight="1" s="29">
      <c r="A21" s="34" t="n">
        <v>9</v>
      </c>
      <c r="B21" s="34" t="n">
        <v>9</v>
      </c>
      <c r="C21" s="34" t="inlineStr">
        <is>
          <t>En complejidad indicar que No Aplica</t>
        </is>
      </c>
      <c r="D21" s="34" t="n"/>
      <c r="E21" s="34" t="n"/>
      <c r="F21" s="53" t="inlineStr">
        <is>
          <t>Cumple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15" customHeight="1" s="29">
      <c r="A22" s="34" t="n">
        <v>10</v>
      </c>
      <c r="B22" s="34" t="n">
        <v>10</v>
      </c>
      <c r="C22" s="34" t="inlineStr">
        <is>
          <t>En el campo Permitir Cancelar, seleccionar NO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23.85" customHeight="1" s="29">
      <c r="A23" s="34" t="n">
        <v>11</v>
      </c>
      <c r="B23" s="34" t="n">
        <v>11</v>
      </c>
      <c r="C23" s="34" t="inlineStr">
        <is>
          <t>Pulsar Aceptar</t>
        </is>
      </c>
      <c r="D23" s="34" t="inlineStr">
        <is>
          <t>El sistema genera un número consecutivo de pedido.</t>
        </is>
      </c>
      <c r="E23" s="34" t="n"/>
      <c r="F23" s="53" t="inlineStr">
        <is>
          <t>Cumple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15" customHeight="1" s="29">
      <c r="A24" s="56" t="n"/>
      <c r="B24" s="56" t="n"/>
      <c r="C24" s="57" t="inlineStr">
        <is>
          <t>Pedido Detalle</t>
        </is>
      </c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</row>
    <row r="25" ht="23.85" customHeight="1" s="29">
      <c r="A25" s="34" t="n">
        <v>12</v>
      </c>
      <c r="B25" s="34" t="n">
        <v>12</v>
      </c>
      <c r="C25" s="34" t="inlineStr">
        <is>
          <t>Tipo de personal</t>
        </is>
      </c>
      <c r="D25" s="34" t="inlineStr">
        <is>
          <t>Validad que sólo se muestren Operativos al no tener complejidad</t>
        </is>
      </c>
      <c r="E25" s="34" t="n"/>
      <c r="F25" s="53" t="inlineStr">
        <is>
          <t>Cumple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15" customHeight="1" s="29">
      <c r="A26" s="34" t="n">
        <v>13</v>
      </c>
      <c r="B26" s="34" t="n">
        <v>13</v>
      </c>
      <c r="C26" s="34" t="inlineStr">
        <is>
          <t>Seleccionar Operativo</t>
        </is>
      </c>
      <c r="D26" s="34" t="n"/>
      <c r="E26" s="34" t="n"/>
      <c r="F26" s="53" t="inlineStr">
        <is>
          <t>Cumple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15" customHeight="1" s="29">
      <c r="A27" s="34" t="n">
        <v>14</v>
      </c>
      <c r="B27" s="34" t="n">
        <v>14</v>
      </c>
      <c r="C27" s="34" t="inlineStr">
        <is>
          <t>Producto: Técnico Audio PRG - IN</t>
        </is>
      </c>
      <c r="D27" s="34" t="inlineStr">
        <is>
          <t>Validar que el catálogo mostrado es el de PRG</t>
        </is>
      </c>
      <c r="E27" s="34" t="n"/>
      <c r="F27" s="53" t="inlineStr">
        <is>
          <t>Cumple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15" customHeight="1" s="29">
      <c r="A28" s="34" t="n">
        <v>15</v>
      </c>
      <c r="B28" s="34" t="n">
        <v>15</v>
      </c>
      <c r="C28" s="34" t="inlineStr">
        <is>
          <t>Validar la jornada</t>
        </is>
      </c>
      <c r="D28" s="34" t="inlineStr">
        <is>
          <t>Debe mostrar 1 turno por 12 horas</t>
        </is>
      </c>
      <c r="E28" s="34" t="n"/>
      <c r="F28" s="53" t="inlineStr">
        <is>
          <t>Cumple</t>
        </is>
      </c>
      <c r="G28" s="53" t="n"/>
      <c r="H28" s="53" t="n"/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15" customHeight="1" s="29">
      <c r="A29" s="34" t="n">
        <v>16</v>
      </c>
      <c r="B29" s="34" t="n">
        <v>16</v>
      </c>
      <c r="C29" s="34" t="inlineStr">
        <is>
          <t>Seleccionar una fecha de cita y de liberación</t>
        </is>
      </c>
      <c r="D29" s="34" t="n"/>
      <c r="E29" s="34" t="n"/>
      <c r="F29" s="53" t="inlineStr">
        <is>
          <t>Cumple</t>
        </is>
      </c>
      <c r="G29" s="53" t="n"/>
      <c r="H29" s="53" t="n"/>
      <c r="I29" s="54" t="n"/>
      <c r="J29" s="54" t="n"/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  <row r="30" ht="23.85" customHeight="1" s="29">
      <c r="A30" s="34" t="n">
        <v>17</v>
      </c>
      <c r="B30" s="34" t="n">
        <v>17</v>
      </c>
      <c r="C30" s="34" t="inlineStr">
        <is>
          <t>Presentación por producto</t>
        </is>
      </c>
      <c r="D30" s="34" t="inlineStr">
        <is>
          <t>Validar que nos se muestran presentaciones</t>
        </is>
      </c>
      <c r="E30" s="37" t="inlineStr">
        <is>
          <t>'nos' → probablemente 'no'.</t>
        </is>
      </c>
      <c r="F30" s="53" t="inlineStr">
        <is>
          <t>Cumple</t>
        </is>
      </c>
      <c r="G30" s="53" t="n"/>
      <c r="H30" s="53" t="n"/>
      <c r="I30" s="54" t="n"/>
      <c r="J30" s="54" t="n"/>
      <c r="K30" s="54" t="n"/>
      <c r="L30" s="54" t="n"/>
      <c r="M30" s="54" t="n"/>
      <c r="N30" s="54" t="n"/>
      <c r="O30" s="55">
        <f>IF(M30&lt;&gt;"",M30,IF(K30&lt;&gt;"",K30,IF(I30&lt;&gt;"",I30,"")))</f>
        <v/>
      </c>
      <c r="P30" s="55">
        <f>IF(O30="","",IF(O30="PENDIENTE","Pendiente",IF(O30="NO EJECUTABLE","No ejecutable",IF(O30="VERIFICAR","Por verificar",IF(AND(F30="No cumple",O30="CUMPLE"),"Mejora",IF(AND(F30="No cumple",O30="PARCIAL"),"Mejora parcial",IF(AND(OR(F30="Cumple",F30="Sin ejecutar"),OR(O30="NO CUMPLE",O30="PARCIAL")),IF(F30="Cumple","Regresión","Falla nueva"),IF(AND(F30="No cumple",O30="NO CUMPLE"),"Sigue fallando","Se mantiene"))))))))</f>
        <v/>
      </c>
    </row>
    <row r="31" ht="23.85" customHeight="1" s="29">
      <c r="A31" s="34" t="n">
        <v>18</v>
      </c>
      <c r="B31" s="34" t="n">
        <v>18</v>
      </c>
      <c r="C31" s="34" t="inlineStr">
        <is>
          <t>Fase del evento</t>
        </is>
      </c>
      <c r="D31" s="34" t="inlineStr">
        <is>
          <t>Validar que se muestran todos los valores del catálogo de Fase de evento</t>
        </is>
      </c>
      <c r="E31" s="34" t="n"/>
      <c r="F31" s="53" t="inlineStr">
        <is>
          <t>Cumple</t>
        </is>
      </c>
      <c r="G31" s="53" t="n"/>
      <c r="H31" s="53" t="n"/>
      <c r="I31" s="54" t="n"/>
      <c r="J31" s="54" t="n"/>
      <c r="K31" s="54" t="n"/>
      <c r="L31" s="54" t="n"/>
      <c r="M31" s="54" t="n"/>
      <c r="N31" s="54" t="n"/>
      <c r="O31" s="55">
        <f>IF(M31&lt;&gt;"",M31,IF(K31&lt;&gt;"",K31,IF(I31&lt;&gt;"",I31,"")))</f>
        <v/>
      </c>
      <c r="P31" s="55">
        <f>IF(O31="","",IF(O31="PENDIENTE","Pendiente",IF(O31="NO EJECUTABLE","No ejecutable",IF(O31="VERIFICAR","Por verificar",IF(AND(F31="No cumple",O31="CUMPLE"),"Mejora",IF(AND(F31="No cumple",O31="PARCIAL"),"Mejora parcial",IF(AND(OR(F31="Cumple",F31="Sin ejecutar"),OR(O31="NO CUMPLE",O31="PARCIAL")),IF(F31="Cumple","Regresión","Falla nueva"),IF(AND(F31="No cumple",O31="NO CUMPLE"),"Sigue fallando","Se mantiene"))))))))</f>
        <v/>
      </c>
    </row>
    <row r="32" ht="15" customHeight="1" s="29">
      <c r="A32" s="34" t="n">
        <v>19</v>
      </c>
      <c r="B32" s="34" t="n">
        <v>19</v>
      </c>
      <c r="C32" s="34" t="inlineStr">
        <is>
          <t>Seleccionar Preparación como fase de evento</t>
        </is>
      </c>
      <c r="D32" s="34" t="n"/>
      <c r="E32" s="34" t="n"/>
      <c r="F32" s="53" t="inlineStr">
        <is>
          <t>Cumple</t>
        </is>
      </c>
      <c r="G32" s="53" t="n"/>
      <c r="H32" s="53" t="n"/>
      <c r="I32" s="54" t="n"/>
      <c r="J32" s="54" t="n"/>
      <c r="K32" s="54" t="n"/>
      <c r="L32" s="54" t="n"/>
      <c r="M32" s="54" t="n"/>
      <c r="N32" s="54" t="n"/>
      <c r="O32" s="55">
        <f>IF(M32&lt;&gt;"",M32,IF(K32&lt;&gt;"",K32,IF(I32&lt;&gt;"",I32,"")))</f>
        <v/>
      </c>
      <c r="P32" s="55">
        <f>IF(O32="","",IF(O32="PENDIENTE","Pendiente",IF(O32="NO EJECUTABLE","No ejecutable",IF(O32="VERIFICAR","Por verificar",IF(AND(F32="No cumple",O32="CUMPLE"),"Mejora",IF(AND(F32="No cumple",O32="PARCIAL"),"Mejora parcial",IF(AND(OR(F32="Cumple",F32="Sin ejecutar"),OR(O32="NO CUMPLE",O32="PARCIAL")),IF(F32="Cumple","Regresión","Falla nueva"),IF(AND(F32="No cumple",O32="NO CUMPLE"),"Sigue fallando","Se mantiene"))))))))</f>
        <v/>
      </c>
    </row>
    <row r="33" ht="15" customHeight="1" s="29">
      <c r="A33" s="34" t="n">
        <v>20</v>
      </c>
      <c r="B33" s="34" t="n">
        <v>20</v>
      </c>
      <c r="C33" s="34" t="inlineStr">
        <is>
          <t>Agregar Registro</t>
        </is>
      </c>
      <c r="D33" s="34" t="n"/>
      <c r="E33" s="34" t="n"/>
      <c r="F33" s="53" t="inlineStr">
        <is>
          <t>Cumple</t>
        </is>
      </c>
      <c r="G33" s="53" t="n"/>
      <c r="H33" s="53" t="n"/>
      <c r="I33" s="54" t="n"/>
      <c r="J33" s="54" t="n"/>
      <c r="K33" s="54" t="n"/>
      <c r="L33" s="54" t="n"/>
      <c r="M33" s="54" t="n"/>
      <c r="N33" s="54" t="n"/>
      <c r="O33" s="55">
        <f>IF(M33&lt;&gt;"",M33,IF(K33&lt;&gt;"",K33,IF(I33&lt;&gt;"",I33,"")))</f>
        <v/>
      </c>
      <c r="P33" s="55">
        <f>IF(O33="","",IF(O33="PENDIENTE","Pendiente",IF(O33="NO EJECUTABLE","No ejecutable",IF(O33="VERIFICAR","Por verificar",IF(AND(F33="No cumple",O33="CUMPLE"),"Mejora",IF(AND(F33="No cumple",O33="PARCIAL"),"Mejora parcial",IF(AND(OR(F33="Cumple",F33="Sin ejecutar"),OR(O33="NO CUMPLE",O33="PARCIAL")),IF(F33="Cumple","Regresión","Falla nueva"),IF(AND(F33="No cumple",O33="NO CUMPLE"),"Sigue fallando","Se mantiene"))))))))</f>
        <v/>
      </c>
    </row>
    <row r="34" ht="15" customHeight="1" s="29">
      <c r="A34" s="34" t="n">
        <v>21</v>
      </c>
      <c r="B34" s="34" t="n">
        <v>21</v>
      </c>
      <c r="C34" s="34" t="inlineStr">
        <is>
          <t>Agregar nuevo pedido detalle</t>
        </is>
      </c>
      <c r="D34" s="34" t="n"/>
      <c r="E34" s="34" t="n"/>
      <c r="F34" s="53" t="inlineStr">
        <is>
          <t>Cumple</t>
        </is>
      </c>
      <c r="G34" s="53" t="n"/>
      <c r="H34" s="53" t="n"/>
      <c r="I34" s="54" t="n"/>
      <c r="J34" s="54" t="n"/>
      <c r="K34" s="54" t="n"/>
      <c r="L34" s="54" t="n"/>
      <c r="M34" s="54" t="n"/>
      <c r="N34" s="54" t="n"/>
      <c r="O34" s="55">
        <f>IF(M34&lt;&gt;"",M34,IF(K34&lt;&gt;"",K34,IF(I34&lt;&gt;"",I34,"")))</f>
        <v/>
      </c>
      <c r="P34" s="55">
        <f>IF(O34="","",IF(O34="PENDIENTE","Pendiente",IF(O34="NO EJECUTABLE","No ejecutable",IF(O34="VERIFICAR","Por verificar",IF(AND(F34="No cumple",O34="CUMPLE"),"Mejora",IF(AND(F34="No cumple",O34="PARCIAL"),"Mejora parcial",IF(AND(OR(F34="Cumple",F34="Sin ejecutar"),OR(O34="NO CUMPLE",O34="PARCIAL")),IF(F34="Cumple","Regresión","Falla nueva"),IF(AND(F34="No cumple",O34="NO CUMPLE"),"Sigue fallando","Se mantiene"))))))))</f>
        <v/>
      </c>
    </row>
    <row r="35" ht="23.85" customHeight="1" s="29">
      <c r="A35" s="34" t="n">
        <v>22</v>
      </c>
      <c r="B35" s="34" t="n">
        <v>22</v>
      </c>
      <c r="C35" s="34" t="inlineStr">
        <is>
          <t>Producto: Técnico Audio PRG - IN</t>
        </is>
      </c>
      <c r="D35" s="34" t="inlineStr">
        <is>
          <t>El sistema debe guardar el valor introducido anteriormente</t>
        </is>
      </c>
      <c r="E35" s="34" t="n"/>
      <c r="F35" s="53" t="inlineStr">
        <is>
          <t>Cumple</t>
        </is>
      </c>
      <c r="G35" s="53" t="inlineStr">
        <is>
          <t>Se guarda todo, a excepción de los turnos y la cantidad</t>
        </is>
      </c>
      <c r="H35" s="53" t="n"/>
      <c r="I35" s="54" t="n"/>
      <c r="J35" s="54" t="n"/>
      <c r="K35" s="54" t="n"/>
      <c r="L35" s="54" t="n"/>
      <c r="M35" s="54" t="n"/>
      <c r="N35" s="54" t="n"/>
      <c r="O35" s="55">
        <f>IF(M35&lt;&gt;"",M35,IF(K35&lt;&gt;"",K35,IF(I35&lt;&gt;"",I35,"")))</f>
        <v/>
      </c>
      <c r="P35" s="55">
        <f>IF(O35="","",IF(O35="PENDIENTE","Pendiente",IF(O35="NO EJECUTABLE","No ejecutable",IF(O35="VERIFICAR","Por verificar",IF(AND(F35="No cumple",O35="CUMPLE"),"Mejora",IF(AND(F35="No cumple",O35="PARCIAL"),"Mejora parcial",IF(AND(OR(F35="Cumple",F35="Sin ejecutar"),OR(O35="NO CUMPLE",O35="PARCIAL")),IF(F35="Cumple","Regresión","Falla nueva"),IF(AND(F35="No cumple",O35="NO CUMPLE"),"Sigue fallando","Se mantiene"))))))))</f>
        <v/>
      </c>
    </row>
    <row r="36" ht="15" customHeight="1" s="29">
      <c r="A36" s="34" t="n">
        <v>23</v>
      </c>
      <c r="B36" s="34" t="n">
        <v>23</v>
      </c>
      <c r="C36" s="34" t="inlineStr">
        <is>
          <t>Fase del evento: Montaje</t>
        </is>
      </c>
      <c r="D36" s="34" t="n"/>
      <c r="E36" s="34" t="n"/>
      <c r="F36" s="53" t="inlineStr">
        <is>
          <t>No cumple</t>
        </is>
      </c>
      <c r="G36" s="53" t="n"/>
      <c r="H36" s="53" t="inlineStr">
        <is>
          <t>EN PROCESO</t>
        </is>
      </c>
      <c r="I36" s="54" t="n"/>
      <c r="J36" s="54" t="n"/>
      <c r="K36" s="54" t="n"/>
      <c r="L36" s="54" t="n"/>
      <c r="M36" s="54" t="n"/>
      <c r="N36" s="54" t="n"/>
      <c r="O36" s="55">
        <f>IF(M36&lt;&gt;"",M36,IF(K36&lt;&gt;"",K36,IF(I36&lt;&gt;"",I36,"")))</f>
        <v/>
      </c>
      <c r="P36" s="55">
        <f>IF(O36="","",IF(O36="PENDIENTE","Pendiente",IF(O36="NO EJECUTABLE","No ejecutable",IF(O36="VERIFICAR","Por verificar",IF(AND(F36="No cumple",O36="CUMPLE"),"Mejora",IF(AND(F36="No cumple",O36="PARCIAL"),"Mejora parcial",IF(AND(OR(F36="Cumple",F36="Sin ejecutar"),OR(O36="NO CUMPLE",O36="PARCIAL")),IF(F36="Cumple","Regresión","Falla nueva"),IF(AND(F36="No cumple",O36="NO CUMPLE"),"Sigue fallando","Se mantiene"))))))))</f>
        <v/>
      </c>
    </row>
    <row r="37" ht="23.85" customHeight="1" s="29">
      <c r="A37" s="34" t="n">
        <v>24</v>
      </c>
      <c r="B37" s="34" t="n">
        <v>24</v>
      </c>
      <c r="C37" s="34" t="inlineStr">
        <is>
          <t>Agregar Registro</t>
        </is>
      </c>
      <c r="D37" s="34" t="inlineStr">
        <is>
          <t>Validar que se ha creado el nuevo bloque con el producto y los montos</t>
        </is>
      </c>
      <c r="E37" s="34" t="n"/>
      <c r="F37" s="53" t="inlineStr">
        <is>
          <t>No cumple</t>
        </is>
      </c>
      <c r="G37" s="53" t="n"/>
      <c r="H37" s="53" t="inlineStr">
        <is>
          <t>EN PROCESO</t>
        </is>
      </c>
      <c r="I37" s="54" t="n"/>
      <c r="J37" s="54" t="n"/>
      <c r="K37" s="54" t="n"/>
      <c r="L37" s="54" t="n"/>
      <c r="M37" s="54" t="n"/>
      <c r="N37" s="54" t="n"/>
      <c r="O37" s="55">
        <f>IF(M37&lt;&gt;"",M37,IF(K37&lt;&gt;"",K37,IF(I37&lt;&gt;"",I37,"")))</f>
        <v/>
      </c>
      <c r="P37" s="55">
        <f>IF(O37="","",IF(O37="PENDIENTE","Pendiente",IF(O37="NO EJECUTABLE","No ejecutable",IF(O37="VERIFICAR","Por verificar",IF(AND(F37="No cumple",O37="CUMPLE"),"Mejora",IF(AND(F37="No cumple",O37="PARCIAL"),"Mejora parcial",IF(AND(OR(F37="Cumple",F37="Sin ejecutar"),OR(O37="NO CUMPLE",O37="PARCIAL")),IF(F37="Cumple","Regresión","Falla nueva"),IF(AND(F37="No cumple",O37="NO CUMPLE"),"Sigue fallando","Se mantiene"))))))))</f>
        <v/>
      </c>
    </row>
    <row r="38" ht="15" customHeight="1" s="29">
      <c r="A38" s="34" t="n">
        <v>25</v>
      </c>
      <c r="B38" s="34" t="n">
        <v>25</v>
      </c>
      <c r="C38" s="34" t="inlineStr">
        <is>
          <t>Agregar nuevo pedido detalle</t>
        </is>
      </c>
      <c r="D38" s="34" t="n"/>
      <c r="E38" s="34" t="n"/>
      <c r="F38" s="53" t="inlineStr">
        <is>
          <t>No cumple</t>
        </is>
      </c>
      <c r="G38" s="53" t="n"/>
      <c r="H38" s="53" t="inlineStr">
        <is>
          <t>EN PROCESO</t>
        </is>
      </c>
      <c r="I38" s="54" t="n"/>
      <c r="J38" s="54" t="n"/>
      <c r="K38" s="54" t="n"/>
      <c r="L38" s="54" t="n"/>
      <c r="M38" s="54" t="n"/>
      <c r="N38" s="54" t="n"/>
      <c r="O38" s="55">
        <f>IF(M38&lt;&gt;"",M38,IF(K38&lt;&gt;"",K38,IF(I38&lt;&gt;"",I38,"")))</f>
        <v/>
      </c>
      <c r="P38" s="55">
        <f>IF(O38="","",IF(O38="PENDIENTE","Pendiente",IF(O38="NO EJECUTABLE","No ejecutable",IF(O38="VERIFICAR","Por verificar",IF(AND(F38="No cumple",O38="CUMPLE"),"Mejora",IF(AND(F38="No cumple",O38="PARCIAL"),"Mejora parcial",IF(AND(OR(F38="Cumple",F38="Sin ejecutar"),OR(O38="NO CUMPLE",O38="PARCIAL")),IF(F38="Cumple","Regresión","Falla nueva"),IF(AND(F38="No cumple",O38="NO CUMPLE"),"Sigue fallando","Se mantiene"))))))))</f>
        <v/>
      </c>
    </row>
    <row r="39" ht="23.85" customHeight="1" s="29">
      <c r="A39" s="34" t="n">
        <v>26</v>
      </c>
      <c r="B39" s="34" t="n">
        <v>26</v>
      </c>
      <c r="C39" s="34" t="inlineStr">
        <is>
          <t>Producto: Técnico Audio PRG - IN</t>
        </is>
      </c>
      <c r="D39" s="34" t="inlineStr">
        <is>
          <t>El sistema debe guardar el valor introducido anteriormente</t>
        </is>
      </c>
      <c r="E39" s="34" t="n"/>
      <c r="F39" s="53" t="inlineStr">
        <is>
          <t>No cumple</t>
        </is>
      </c>
      <c r="G39" s="53" t="n"/>
      <c r="H39" s="53" t="inlineStr">
        <is>
          <t>EN PROCESO</t>
        </is>
      </c>
      <c r="I39" s="54" t="n"/>
      <c r="J39" s="54" t="n"/>
      <c r="K39" s="54" t="n"/>
      <c r="L39" s="54" t="n"/>
      <c r="M39" s="54" t="n"/>
      <c r="N39" s="54" t="n"/>
      <c r="O39" s="55">
        <f>IF(M39&lt;&gt;"",M39,IF(K39&lt;&gt;"",K39,IF(I39&lt;&gt;"",I39,"")))</f>
        <v/>
      </c>
      <c r="P39" s="55">
        <f>IF(O39="","",IF(O39="PENDIENTE","Pendiente",IF(O39="NO EJECUTABLE","No ejecutable",IF(O39="VERIFICAR","Por verificar",IF(AND(F39="No cumple",O39="CUMPLE"),"Mejora",IF(AND(F39="No cumple",O39="PARCIAL"),"Mejora parcial",IF(AND(OR(F39="Cumple",F39="Sin ejecutar"),OR(O39="NO CUMPLE",O39="PARCIAL")),IF(F39="Cumple","Regresión","Falla nueva"),IF(AND(F39="No cumple",O39="NO CUMPLE"),"Sigue fallando","Se mantiene"))))))))</f>
        <v/>
      </c>
    </row>
    <row r="40" ht="15" customHeight="1" s="29">
      <c r="A40" s="34" t="n">
        <v>27</v>
      </c>
      <c r="B40" s="34" t="n">
        <v>27</v>
      </c>
      <c r="C40" s="34" t="inlineStr">
        <is>
          <t>Fase del evento: Show</t>
        </is>
      </c>
      <c r="D40" s="34" t="n"/>
      <c r="E40" s="34" t="n"/>
      <c r="F40" s="53" t="inlineStr">
        <is>
          <t>No cumple</t>
        </is>
      </c>
      <c r="G40" s="53" t="n"/>
      <c r="H40" s="53" t="inlineStr">
        <is>
          <t>EN PROCESO</t>
        </is>
      </c>
      <c r="I40" s="54" t="n"/>
      <c r="J40" s="54" t="n"/>
      <c r="K40" s="54" t="n"/>
      <c r="L40" s="54" t="n"/>
      <c r="M40" s="54" t="n"/>
      <c r="N40" s="54" t="n"/>
      <c r="O40" s="55">
        <f>IF(M40&lt;&gt;"",M40,IF(K40&lt;&gt;"",K40,IF(I40&lt;&gt;"",I40,"")))</f>
        <v/>
      </c>
      <c r="P40" s="55">
        <f>IF(O40="","",IF(O40="PENDIENTE","Pendiente",IF(O40="NO EJECUTABLE","No ejecutable",IF(O40="VERIFICAR","Por verificar",IF(AND(F40="No cumple",O40="CUMPLE"),"Mejora",IF(AND(F40="No cumple",O40="PARCIAL"),"Mejora parcial",IF(AND(OR(F40="Cumple",F40="Sin ejecutar"),OR(O40="NO CUMPLE",O40="PARCIAL")),IF(F40="Cumple","Regresión","Falla nueva"),IF(AND(F40="No cumple",O40="NO CUMPLE"),"Sigue fallando","Se mantiene"))))))))</f>
        <v/>
      </c>
    </row>
    <row r="41" ht="23.85" customHeight="1" s="29">
      <c r="A41" s="34" t="n">
        <v>28</v>
      </c>
      <c r="B41" s="34" t="n">
        <v>28</v>
      </c>
      <c r="C41" s="34" t="inlineStr">
        <is>
          <t>Agregar Registro</t>
        </is>
      </c>
      <c r="D41" s="34" t="inlineStr">
        <is>
          <t>Validar que se ha creado el nuevo bloque con el producto y los montos</t>
        </is>
      </c>
      <c r="E41" s="34" t="n"/>
      <c r="F41" s="53" t="inlineStr">
        <is>
          <t>No cumple</t>
        </is>
      </c>
      <c r="G41" s="53" t="n"/>
      <c r="H41" s="53" t="inlineStr">
        <is>
          <t>EN PROCESO</t>
        </is>
      </c>
      <c r="I41" s="54" t="n"/>
      <c r="J41" s="54" t="n"/>
      <c r="K41" s="54" t="n"/>
      <c r="L41" s="54" t="n"/>
      <c r="M41" s="54" t="n"/>
      <c r="N41" s="54" t="n"/>
      <c r="O41" s="55">
        <f>IF(M41&lt;&gt;"",M41,IF(K41&lt;&gt;"",K41,IF(I41&lt;&gt;"",I41,"")))</f>
        <v/>
      </c>
      <c r="P41" s="55">
        <f>IF(O41="","",IF(O41="PENDIENTE","Pendiente",IF(O41="NO EJECUTABLE","No ejecutable",IF(O41="VERIFICAR","Por verificar",IF(AND(F41="No cumple",O41="CUMPLE"),"Mejora",IF(AND(F41="No cumple",O41="PARCIAL"),"Mejora parcial",IF(AND(OR(F41="Cumple",F41="Sin ejecutar"),OR(O41="NO CUMPLE",O41="PARCIAL")),IF(F41="Cumple","Regresión","Falla nueva"),IF(AND(F41="No cumple",O41="NO CUMPLE"),"Sigue fallando","Se mantiene"))))))))</f>
        <v/>
      </c>
    </row>
    <row r="42" ht="15" customHeight="1" s="29">
      <c r="A42" s="34" t="n">
        <v>29</v>
      </c>
      <c r="B42" s="34" t="n">
        <v>29</v>
      </c>
      <c r="C42" s="34" t="inlineStr">
        <is>
          <t>Agregar nuevo pedido detalle</t>
        </is>
      </c>
      <c r="D42" s="34" t="n"/>
      <c r="E42" s="34" t="n"/>
      <c r="F42" s="53" t="inlineStr">
        <is>
          <t>No cumple</t>
        </is>
      </c>
      <c r="G42" s="53" t="n"/>
      <c r="H42" s="53" t="inlineStr">
        <is>
          <t>EN PROCESO</t>
        </is>
      </c>
      <c r="I42" s="54" t="n"/>
      <c r="J42" s="54" t="n"/>
      <c r="K42" s="54" t="n"/>
      <c r="L42" s="54" t="n"/>
      <c r="M42" s="54" t="n"/>
      <c r="N42" s="54" t="n"/>
      <c r="O42" s="55">
        <f>IF(M42&lt;&gt;"",M42,IF(K42&lt;&gt;"",K42,IF(I42&lt;&gt;"",I42,"")))</f>
        <v/>
      </c>
      <c r="P42" s="55">
        <f>IF(O42="","",IF(O42="PENDIENTE","Pendiente",IF(O42="NO EJECUTABLE","No ejecutable",IF(O42="VERIFICAR","Por verificar",IF(AND(F42="No cumple",O42="CUMPLE"),"Mejora",IF(AND(F42="No cumple",O42="PARCIAL"),"Mejora parcial",IF(AND(OR(F42="Cumple",F42="Sin ejecutar"),OR(O42="NO CUMPLE",O42="PARCIAL")),IF(F42="Cumple","Regresión","Falla nueva"),IF(AND(F42="No cumple",O42="NO CUMPLE"),"Sigue fallando","Se mantiene"))))))))</f>
        <v/>
      </c>
    </row>
    <row r="43" ht="23.85" customHeight="1" s="29">
      <c r="A43" s="34" t="n">
        <v>30</v>
      </c>
      <c r="B43" s="34" t="n">
        <v>30</v>
      </c>
      <c r="C43" s="34" t="inlineStr">
        <is>
          <t>Producto: Técnico Audio PRG - IN</t>
        </is>
      </c>
      <c r="D43" s="34" t="inlineStr">
        <is>
          <t>El sistema debe guardar el valor introducido anteriormente</t>
        </is>
      </c>
      <c r="E43" s="34" t="n"/>
      <c r="F43" s="53" t="inlineStr">
        <is>
          <t>No cumple</t>
        </is>
      </c>
      <c r="G43" s="53" t="n"/>
      <c r="H43" s="53" t="inlineStr">
        <is>
          <t>EN PROCESO</t>
        </is>
      </c>
      <c r="I43" s="54" t="n"/>
      <c r="J43" s="54" t="n"/>
      <c r="K43" s="54" t="n"/>
      <c r="L43" s="54" t="n"/>
      <c r="M43" s="54" t="n"/>
      <c r="N43" s="54" t="n"/>
      <c r="O43" s="55">
        <f>IF(M43&lt;&gt;"",M43,IF(K43&lt;&gt;"",K43,IF(I43&lt;&gt;"",I43,"")))</f>
        <v/>
      </c>
      <c r="P43" s="55">
        <f>IF(O43="","",IF(O43="PENDIENTE","Pendiente",IF(O43="NO EJECUTABLE","No ejecutable",IF(O43="VERIFICAR","Por verificar",IF(AND(F43="No cumple",O43="CUMPLE"),"Mejora",IF(AND(F43="No cumple",O43="PARCIAL"),"Mejora parcial",IF(AND(OR(F43="Cumple",F43="Sin ejecutar"),OR(O43="NO CUMPLE",O43="PARCIAL")),IF(F43="Cumple","Regresión","Falla nueva"),IF(AND(F43="No cumple",O43="NO CUMPLE"),"Sigue fallando","Se mantiene"))))))))</f>
        <v/>
      </c>
    </row>
    <row r="44" ht="15" customHeight="1" s="29">
      <c r="A44" s="34" t="n">
        <v>31</v>
      </c>
      <c r="B44" s="34" t="n">
        <v>31</v>
      </c>
      <c r="C44" s="34" t="inlineStr">
        <is>
          <t>Fase del evento: Desmontaje</t>
        </is>
      </c>
      <c r="D44" s="34" t="n"/>
      <c r="E44" s="34" t="n"/>
      <c r="F44" s="53" t="inlineStr">
        <is>
          <t>No cumple</t>
        </is>
      </c>
      <c r="G44" s="53" t="n"/>
      <c r="H44" s="53" t="inlineStr">
        <is>
          <t>EN PROCESO</t>
        </is>
      </c>
      <c r="I44" s="54" t="n"/>
      <c r="J44" s="54" t="n"/>
      <c r="K44" s="54" t="n"/>
      <c r="L44" s="54" t="n"/>
      <c r="M44" s="54" t="n"/>
      <c r="N44" s="54" t="n"/>
      <c r="O44" s="55">
        <f>IF(M44&lt;&gt;"",M44,IF(K44&lt;&gt;"",K44,IF(I44&lt;&gt;"",I44,"")))</f>
        <v/>
      </c>
      <c r="P44" s="55">
        <f>IF(O44="","",IF(O44="PENDIENTE","Pendiente",IF(O44="NO EJECUTABLE","No ejecutable",IF(O44="VERIFICAR","Por verificar",IF(AND(F44="No cumple",O44="CUMPLE"),"Mejora",IF(AND(F44="No cumple",O44="PARCIAL"),"Mejora parcial",IF(AND(OR(F44="Cumple",F44="Sin ejecutar"),OR(O44="NO CUMPLE",O44="PARCIAL")),IF(F44="Cumple","Regresión","Falla nueva"),IF(AND(F44="No cumple",O44="NO CUMPLE"),"Sigue fallando","Se mantiene"))))))))</f>
        <v/>
      </c>
    </row>
    <row r="45" ht="23.85" customHeight="1" s="29">
      <c r="A45" s="34" t="n">
        <v>32</v>
      </c>
      <c r="B45" s="34" t="n">
        <v>32</v>
      </c>
      <c r="C45" s="34" t="inlineStr">
        <is>
          <t>Agregar Registro</t>
        </is>
      </c>
      <c r="D45" s="34" t="inlineStr">
        <is>
          <t>Validar que se ha creado el nuevo bloque con el producto y los montos</t>
        </is>
      </c>
      <c r="E45" s="34" t="n"/>
      <c r="F45" s="53" t="inlineStr">
        <is>
          <t>No cumple</t>
        </is>
      </c>
      <c r="G45" s="53" t="n"/>
      <c r="H45" s="53" t="inlineStr">
        <is>
          <t>EN PROCESO</t>
        </is>
      </c>
      <c r="I45" s="54" t="n"/>
      <c r="J45" s="54" t="n"/>
      <c r="K45" s="54" t="n"/>
      <c r="L45" s="54" t="n"/>
      <c r="M45" s="54" t="n"/>
      <c r="N45" s="54" t="n"/>
      <c r="O45" s="55">
        <f>IF(M45&lt;&gt;"",M45,IF(K45&lt;&gt;"",K45,IF(I45&lt;&gt;"",I45,"")))</f>
        <v/>
      </c>
      <c r="P45" s="55">
        <f>IF(O45="","",IF(O45="PENDIENTE","Pendiente",IF(O45="NO EJECUTABLE","No ejecutable",IF(O45="VERIFICAR","Por verificar",IF(AND(F45="No cumple",O45="CUMPLE"),"Mejora",IF(AND(F45="No cumple",O45="PARCIAL"),"Mejora parcial",IF(AND(OR(F45="Cumple",F45="Sin ejecutar"),OR(O45="NO CUMPLE",O45="PARCIAL")),IF(F45="Cumple","Regresión","Falla nueva"),IF(AND(F45="No cumple",O45="NO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45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45 K13:K45 M13:M45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P1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ESC-04 — Pedido para Azteca (Seguridad) - Futbol América vs Pumas</t>
        </is>
      </c>
    </row>
    <row r="2" ht="15" customHeight="1" s="29">
      <c r="A2" s="45" t="inlineStr">
        <is>
          <t>Núm. original</t>
        </is>
      </c>
      <c r="B2" s="46" t="inlineStr">
        <is>
          <t>Escenario 4</t>
        </is>
      </c>
      <c r="I2" s="45" t="inlineStr">
        <is>
          <t>Pasos</t>
        </is>
      </c>
      <c r="J2" s="45">
        <f>COUNT(A13:A119)</f>
        <v/>
      </c>
    </row>
    <row r="3" ht="15" customHeight="1" s="29">
      <c r="A3" s="45" t="inlineStr">
        <is>
          <t>Módulo</t>
        </is>
      </c>
      <c r="B3" s="46" t="inlineStr">
        <is>
          <t>Pedidos</t>
        </is>
      </c>
      <c r="I3" s="45" t="inlineStr">
        <is>
          <t>Ejecutados (último)</t>
        </is>
      </c>
      <c r="J3" s="45">
        <f>COUNTIF(O13:O119,"?*")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un pedido de Seguridad de gran volumen (9 productos) con alta repetitiva de detalles.</t>
        </is>
      </c>
      <c r="I4" s="45" t="inlineStr">
        <is>
          <t>CUMPLE (último)</t>
        </is>
      </c>
      <c r="J4" s="45">
        <f>COUNTIF(O13:O119,"CUMPLE")</f>
        <v/>
      </c>
    </row>
    <row r="5" ht="15" customHeight="1" s="29">
      <c r="A5" s="45" t="inlineStr">
        <is>
          <t>Funcionalidades</t>
        </is>
      </c>
      <c r="B5" s="46" t="inlineStr">
        <is>
          <t>Edición de título · horas por turno por producto · validación de fechas · presentaciones por UN · completar similares NO · ID de detalle · matriz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S04</t>
        </is>
      </c>
    </row>
    <row r="8" ht="15" customHeight="1" s="29">
      <c r="A8" s="45" t="inlineStr">
        <is>
          <t>⚠ Calidad del caso</t>
        </is>
      </c>
      <c r="B8" s="48" t="inlineStr">
        <is>
          <t>9 bloques casi idénticos (parametrizable). El paso final 'El pedido debe quedar de la siguiente forma' remite a una imagen del archivo original.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>
        <v>1</v>
      </c>
      <c r="C13" s="34" t="inlineStr">
        <is>
          <t>Crear un nuevo pedido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>
        <v>2</v>
      </c>
      <c r="C14" s="34" t="inlineStr">
        <is>
          <t>Seleccionar cliente Coisa Consultores Industriales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>
        <v>3</v>
      </c>
      <c r="C15" s="34" t="inlineStr">
        <is>
          <t>Validar lista de contactos</t>
        </is>
      </c>
      <c r="D15" s="34" t="inlineStr">
        <is>
          <t>Los contactos mostrados deben pertenecer al cliente</t>
        </is>
      </c>
      <c r="E15" s="34" t="n"/>
      <c r="F15" s="53" t="inlineStr">
        <is>
          <t>Cumple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>
        <v>4</v>
      </c>
      <c r="C16" s="34" t="inlineStr">
        <is>
          <t>Seleccionar un evento (Si no está crear uno)</t>
        </is>
      </c>
      <c r="D16" s="34" t="n"/>
      <c r="E16" s="34" t="n"/>
      <c r="F16" s="53" t="inlineStr">
        <is>
          <t>Cumple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>
        <v>5</v>
      </c>
      <c r="C17" s="34" t="inlineStr">
        <is>
          <t>Seleccionar UN Seguridad</t>
        </is>
      </c>
      <c r="D17" s="34" t="inlineStr">
        <is>
          <t>El sistema despliega los PEPS de la UN de seguridad, y la sociedad pagadora</t>
        </is>
      </c>
      <c r="E17" s="34" t="n"/>
      <c r="F17" s="53" t="inlineStr">
        <is>
          <t>Cumple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35.05" customHeight="1" s="29">
      <c r="A18" s="34" t="n">
        <v>6</v>
      </c>
      <c r="B18" s="34" t="n">
        <v>6</v>
      </c>
      <c r="C18" s="34" t="inlineStr">
        <is>
          <t>Seleccionar el PEPS LT-AZ-2018-01-01N085LT-A</t>
        </is>
      </c>
      <c r="D18" s="34" t="inlineStr">
        <is>
          <t>El sistema me muestra el nombre y la dirección del  inmueble. Validar también que el lugar de cita es el Estadio Azteca</t>
        </is>
      </c>
      <c r="E18" s="34" t="n"/>
      <c r="F18" s="53" t="inlineStr">
        <is>
          <t>Cumple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>
        <v>7</v>
      </c>
      <c r="C19" s="34" t="inlineStr">
        <is>
          <t>Validar tipo de movimiento</t>
        </is>
      </c>
      <c r="D19" s="34" t="inlineStr">
        <is>
          <t>El sistema debe mostrar dos tipos de movimiento (Pedido y Servicio Interno)</t>
        </is>
      </c>
      <c r="E19" s="34" t="n"/>
      <c r="F19" s="53" t="inlineStr">
        <is>
          <t>No cumple</t>
        </is>
      </c>
      <c r="G19" s="53" t="n"/>
      <c r="H19" s="53" t="inlineStr">
        <is>
          <t>Corregido</t>
        </is>
      </c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>
        <v>8</v>
      </c>
      <c r="C20" s="34" t="inlineStr">
        <is>
          <t>Seleccionar Tipo de movimiento Pedido</t>
        </is>
      </c>
      <c r="D20" s="34" t="inlineStr">
        <is>
          <t>EL tipo Pedido se factura (validar posteriormente)</t>
        </is>
      </c>
      <c r="E20" s="34" t="n"/>
      <c r="F20" s="53" t="inlineStr">
        <is>
          <t>No cumple</t>
        </is>
      </c>
      <c r="G20" s="53" t="inlineStr">
        <is>
          <t>Factura está determinado como de No por default</t>
        </is>
      </c>
      <c r="H20" s="53" t="inlineStr">
        <is>
          <t>Corregido</t>
        </is>
      </c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15" customHeight="1" s="29">
      <c r="A21" s="34" t="n">
        <v>9</v>
      </c>
      <c r="B21" s="34" t="n">
        <v>9</v>
      </c>
      <c r="C21" s="34" t="inlineStr">
        <is>
          <t>En el campo Permitir Cancelar, seleccionar NO</t>
        </is>
      </c>
      <c r="D21" s="34" t="n"/>
      <c r="E21" s="34" t="n"/>
      <c r="F21" s="53" t="inlineStr">
        <is>
          <t>Cumple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15" customHeight="1" s="29">
      <c r="A22" s="34" t="n">
        <v>10</v>
      </c>
      <c r="B22" s="34" t="n">
        <v>10</v>
      </c>
      <c r="C22" s="34" t="inlineStr">
        <is>
          <t>Incluir un Responsable del Pedido</t>
        </is>
      </c>
      <c r="D22" s="34" t="n"/>
      <c r="E22" s="34" t="n"/>
      <c r="F22" s="53" t="inlineStr">
        <is>
          <t>Cumple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23.85" customHeight="1" s="29">
      <c r="A23" s="34" t="n">
        <v>11</v>
      </c>
      <c r="B23" s="34" t="n">
        <v>11</v>
      </c>
      <c r="C23" s="34" t="inlineStr">
        <is>
          <t>Pulsar Aceptar</t>
        </is>
      </c>
      <c r="D23" s="34" t="inlineStr">
        <is>
          <t>El sistema genera un número consecutivo de pedido.</t>
        </is>
      </c>
      <c r="E23" s="34" t="n"/>
      <c r="F23" s="53" t="inlineStr">
        <is>
          <t>Cumple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15" customHeight="1" s="29">
      <c r="A24" s="56" t="n"/>
      <c r="B24" s="56" t="n"/>
      <c r="C24" s="57" t="inlineStr">
        <is>
          <t>Pedido Detalle</t>
        </is>
      </c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</row>
    <row r="25" ht="15" customHeight="1" s="29">
      <c r="A25" s="34" t="n">
        <v>12</v>
      </c>
      <c r="B25" s="34" t="n">
        <v>12</v>
      </c>
      <c r="C25" s="34" t="inlineStr">
        <is>
          <t>Validar Estatus del Pedido</t>
        </is>
      </c>
      <c r="D25" s="34" t="inlineStr">
        <is>
          <t>Debe estar en estado Normal</t>
        </is>
      </c>
      <c r="E25" s="34" t="n"/>
      <c r="F25" s="53" t="inlineStr">
        <is>
          <t>No cumple</t>
        </is>
      </c>
      <c r="G25" s="53" t="n"/>
      <c r="H25" s="53" t="inlineStr">
        <is>
          <t>Corregido</t>
        </is>
      </c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23.85" customHeight="1" s="29">
      <c r="A26" s="34" t="n">
        <v>13</v>
      </c>
      <c r="B26" s="34" t="n">
        <v>13</v>
      </c>
      <c r="C26" s="34" t="inlineStr">
        <is>
          <t>Seleccionar Tipo de Personal Operativo</t>
        </is>
      </c>
      <c r="D26" s="34" t="inlineStr">
        <is>
          <t>Validar que sólo se muestre Operativo por default ser un pedido de seguridad</t>
        </is>
      </c>
      <c r="E26" s="34" t="n"/>
      <c r="F26" s="53" t="inlineStr">
        <is>
          <t>Cumple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23.85" customHeight="1" s="29">
      <c r="A27" s="34" t="n">
        <v>14</v>
      </c>
      <c r="B27" s="34" t="n">
        <v>14</v>
      </c>
      <c r="C27" s="34" t="inlineStr">
        <is>
          <t>Validar que Tïtulo, Lugar de Cita, Facturable vienen prerellenos</t>
        </is>
      </c>
      <c r="D27" s="34" t="inlineStr">
        <is>
          <t>Validar que se muestran todos los productos de Seguridad</t>
        </is>
      </c>
      <c r="E27" s="34" t="n"/>
      <c r="F27" s="53" t="inlineStr">
        <is>
          <t>Cumple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15" customHeight="1" s="29">
      <c r="A28" s="34" t="n">
        <v>15</v>
      </c>
      <c r="B28" s="34" t="n">
        <v>15</v>
      </c>
      <c r="C28" s="34" t="inlineStr">
        <is>
          <t>Editar el Título</t>
        </is>
      </c>
      <c r="D28" s="34" t="inlineStr">
        <is>
          <t>Validar que se puda editar el Título</t>
        </is>
      </c>
      <c r="E28" s="34" t="n"/>
      <c r="F28" s="53" t="inlineStr">
        <is>
          <t>Cumple</t>
        </is>
      </c>
      <c r="G28" s="53" t="n"/>
      <c r="H28" s="53" t="n"/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15" customHeight="1" s="29">
      <c r="A29" s="34" t="n">
        <v>16</v>
      </c>
      <c r="B29" s="34" t="n">
        <v>16</v>
      </c>
      <c r="C29" s="34" t="inlineStr">
        <is>
          <t>Seleccionar Producto Anfitrion-IN</t>
        </is>
      </c>
      <c r="D29" s="34" t="n"/>
      <c r="E29" s="34" t="n"/>
      <c r="F29" s="53" t="inlineStr">
        <is>
          <t>No cumple</t>
        </is>
      </c>
      <c r="G29" s="53" t="inlineStr">
        <is>
          <t>Se seleccionó Anfitrión incluyente-IN</t>
        </is>
      </c>
      <c r="H29" s="53" t="n"/>
      <c r="I29" s="54" t="n"/>
      <c r="J29" s="54" t="n"/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  <row r="30" ht="23.85" customHeight="1" s="29">
      <c r="A30" s="34" t="n">
        <v>17</v>
      </c>
      <c r="B30" s="34" t="n">
        <v>17</v>
      </c>
      <c r="C30" s="34" t="inlineStr">
        <is>
          <t>Validar que el sistema muestra las horas por turno de ese producto</t>
        </is>
      </c>
      <c r="D30" s="34" t="inlineStr">
        <is>
          <t>Se muestra 1 turno por 8 horas</t>
        </is>
      </c>
      <c r="E30" s="34" t="n"/>
      <c r="F30" s="53" t="inlineStr">
        <is>
          <t>No cumple</t>
        </is>
      </c>
      <c r="G30" s="53" t="inlineStr">
        <is>
          <t>En ningún momento se muestra esa información</t>
        </is>
      </c>
      <c r="H30" s="53" t="inlineStr">
        <is>
          <t>Corregido</t>
        </is>
      </c>
      <c r="I30" s="54" t="n"/>
      <c r="J30" s="54" t="n"/>
      <c r="K30" s="54" t="n"/>
      <c r="L30" s="54" t="n"/>
      <c r="M30" s="54" t="n"/>
      <c r="N30" s="54" t="n"/>
      <c r="O30" s="55">
        <f>IF(M30&lt;&gt;"",M30,IF(K30&lt;&gt;"",K30,IF(I30&lt;&gt;"",I30,"")))</f>
        <v/>
      </c>
      <c r="P30" s="55">
        <f>IF(O30="","",IF(O30="PENDIENTE","Pendiente",IF(O30="NO EJECUTABLE","No ejecutable",IF(O30="VERIFICAR","Por verificar",IF(AND(F30="No cumple",O30="CUMPLE"),"Mejora",IF(AND(F30="No cumple",O30="PARCIAL"),"Mejora parcial",IF(AND(OR(F30="Cumple",F30="Sin ejecutar"),OR(O30="NO CUMPLE",O30="PARCIAL")),IF(F30="Cumple","Regresión","Falla nueva"),IF(AND(F30="No cumple",O30="NO CUMPLE"),"Sigue fallando","Se mantiene"))))))))</f>
        <v/>
      </c>
    </row>
    <row r="31" ht="15" customHeight="1" s="29">
      <c r="A31" s="34" t="n">
        <v>18</v>
      </c>
      <c r="B31" s="34" t="n">
        <v>18</v>
      </c>
      <c r="C31" s="34" t="inlineStr">
        <is>
          <t>Poner Cantidad 40 y Turnos 1</t>
        </is>
      </c>
      <c r="D31" s="34" t="n"/>
      <c r="E31" s="34" t="n"/>
      <c r="F31" s="53" t="inlineStr">
        <is>
          <t>Cumple</t>
        </is>
      </c>
      <c r="G31" s="53" t="n"/>
      <c r="H31" s="53" t="n"/>
      <c r="I31" s="54" t="n"/>
      <c r="J31" s="54" t="n"/>
      <c r="K31" s="54" t="n"/>
      <c r="L31" s="54" t="n"/>
      <c r="M31" s="54" t="n"/>
      <c r="N31" s="54" t="n"/>
      <c r="O31" s="55">
        <f>IF(M31&lt;&gt;"",M31,IF(K31&lt;&gt;"",K31,IF(I31&lt;&gt;"",I31,"")))</f>
        <v/>
      </c>
      <c r="P31" s="55">
        <f>IF(O31="","",IF(O31="PENDIENTE","Pendiente",IF(O31="NO EJECUTABLE","No ejecutable",IF(O31="VERIFICAR","Por verificar",IF(AND(F31="No cumple",O31="CUMPLE"),"Mejora",IF(AND(F31="No cumple",O31="PARCIAL"),"Mejora parcial",IF(AND(OR(F31="Cumple",F31="Sin ejecutar"),OR(O31="NO CUMPLE",O31="PARCIAL")),IF(F31="Cumple","Regresión","Falla nueva"),IF(AND(F31="No cumple",O31="NO CUMPLE"),"Sigue fallando","Se mantiene"))))))))</f>
        <v/>
      </c>
    </row>
    <row r="32" ht="15" customHeight="1" s="29">
      <c r="A32" s="34" t="n">
        <v>19</v>
      </c>
      <c r="B32" s="34" t="n">
        <v>19</v>
      </c>
      <c r="C32" s="34" t="inlineStr">
        <is>
          <t>Seleccionar cualquier Fecha de Cita</t>
        </is>
      </c>
      <c r="D32" s="34" t="n"/>
      <c r="E32" s="34" t="n"/>
      <c r="F32" s="53" t="inlineStr">
        <is>
          <t>Cumple</t>
        </is>
      </c>
      <c r="G32" s="53" t="n"/>
      <c r="H32" s="53" t="n"/>
      <c r="I32" s="54" t="n"/>
      <c r="J32" s="54" t="n"/>
      <c r="K32" s="54" t="n"/>
      <c r="L32" s="54" t="n"/>
      <c r="M32" s="54" t="n"/>
      <c r="N32" s="54" t="n"/>
      <c r="O32" s="55">
        <f>IF(M32&lt;&gt;"",M32,IF(K32&lt;&gt;"",K32,IF(I32&lt;&gt;"",I32,"")))</f>
        <v/>
      </c>
      <c r="P32" s="55">
        <f>IF(O32="","",IF(O32="PENDIENTE","Pendiente",IF(O32="NO EJECUTABLE","No ejecutable",IF(O32="VERIFICAR","Por verificar",IF(AND(F32="No cumple",O32="CUMPLE"),"Mejora",IF(AND(F32="No cumple",O32="PARCIAL"),"Mejora parcial",IF(AND(OR(F32="Cumple",F32="Sin ejecutar"),OR(O32="NO CUMPLE",O32="PARCIAL")),IF(F32="Cumple","Regresión","Falla nueva"),IF(AND(F32="No cumple",O32="NO CUMPLE"),"Sigue fallando","Se mantiene"))))))))</f>
        <v/>
      </c>
    </row>
    <row r="33" ht="35.05" customHeight="1" s="29">
      <c r="A33" s="34" t="n">
        <v>20</v>
      </c>
      <c r="B33" s="34" t="n">
        <v>20</v>
      </c>
      <c r="C33" s="34" t="inlineStr">
        <is>
          <t>Seleccionar una fecha de liberación posterior</t>
        </is>
      </c>
      <c r="D33" s="34" t="inlineStr">
        <is>
          <t>El sistema debe de mostrar una alerta por que no puede ser la fecha de liberación posterior a la fecha de cita</t>
        </is>
      </c>
      <c r="E33" s="34" t="n"/>
      <c r="F33" s="53" t="inlineStr">
        <is>
          <t>Cumple</t>
        </is>
      </c>
      <c r="G33" s="53" t="n"/>
      <c r="H33" s="53" t="n"/>
      <c r="I33" s="54" t="n"/>
      <c r="J33" s="54" t="n"/>
      <c r="K33" s="54" t="n"/>
      <c r="L33" s="54" t="n"/>
      <c r="M33" s="54" t="n"/>
      <c r="N33" s="54" t="n"/>
      <c r="O33" s="55">
        <f>IF(M33&lt;&gt;"",M33,IF(K33&lt;&gt;"",K33,IF(I33&lt;&gt;"",I33,"")))</f>
        <v/>
      </c>
      <c r="P33" s="55">
        <f>IF(O33="","",IF(O33="PENDIENTE","Pendiente",IF(O33="NO EJECUTABLE","No ejecutable",IF(O33="VERIFICAR","Por verificar",IF(AND(F33="No cumple",O33="CUMPLE"),"Mejora",IF(AND(F33="No cumple",O33="PARCIAL"),"Mejora parcial",IF(AND(OR(F33="Cumple",F33="Sin ejecutar"),OR(O33="NO CUMPLE",O33="PARCIAL")),IF(F33="Cumple","Regresión","Falla nueva"),IF(AND(F33="No cumple",O33="NO CUMPLE"),"Sigue fallando","Se mantiene"))))))))</f>
        <v/>
      </c>
    </row>
    <row r="34" ht="15" customHeight="1" s="29">
      <c r="A34" s="34" t="n">
        <v>21</v>
      </c>
      <c r="B34" s="34" t="n">
        <v>21</v>
      </c>
      <c r="C34" s="34" t="inlineStr">
        <is>
          <t>Seleccionar una fecha correcta de liberación</t>
        </is>
      </c>
      <c r="D34" s="34" t="n"/>
      <c r="E34" s="34" t="n"/>
      <c r="F34" s="53" t="inlineStr">
        <is>
          <t>Cumple</t>
        </is>
      </c>
      <c r="G34" s="53" t="n"/>
      <c r="H34" s="53" t="n"/>
      <c r="I34" s="54" t="n"/>
      <c r="J34" s="54" t="n"/>
      <c r="K34" s="54" t="n"/>
      <c r="L34" s="54" t="n"/>
      <c r="M34" s="54" t="n"/>
      <c r="N34" s="54" t="n"/>
      <c r="O34" s="55">
        <f>IF(M34&lt;&gt;"",M34,IF(K34&lt;&gt;"",K34,IF(I34&lt;&gt;"",I34,"")))</f>
        <v/>
      </c>
      <c r="P34" s="55">
        <f>IF(O34="","",IF(O34="PENDIENTE","Pendiente",IF(O34="NO EJECUTABLE","No ejecutable",IF(O34="VERIFICAR","Por verificar",IF(AND(F34="No cumple",O34="CUMPLE"),"Mejora",IF(AND(F34="No cumple",O34="PARCIAL"),"Mejora parcial",IF(AND(OR(F34="Cumple",F34="Sin ejecutar"),OR(O34="NO CUMPLE",O34="PARCIAL")),IF(F34="Cumple","Regresión","Falla nueva"),IF(AND(F34="No cumple",O34="NO CUMPLE"),"Sigue fallando","Se mantiene"))))))))</f>
        <v/>
      </c>
    </row>
    <row r="35" ht="23.85" customHeight="1" s="29">
      <c r="A35" s="34" t="n">
        <v>22</v>
      </c>
      <c r="B35" s="34" t="n">
        <v>22</v>
      </c>
      <c r="C35" s="34" t="inlineStr">
        <is>
          <t>En presentación por producto, validar que sólo muentren las de la unidad de negocio</t>
        </is>
      </c>
      <c r="D35" s="34" t="n"/>
      <c r="E35" s="34" t="n"/>
      <c r="F35" s="53" t="inlineStr">
        <is>
          <t>Cumple</t>
        </is>
      </c>
      <c r="G35" s="53" t="n"/>
      <c r="H35" s="53" t="n"/>
      <c r="I35" s="54" t="n"/>
      <c r="J35" s="54" t="n"/>
      <c r="K35" s="54" t="n"/>
      <c r="L35" s="54" t="n"/>
      <c r="M35" s="54" t="n"/>
      <c r="N35" s="54" t="n"/>
      <c r="O35" s="55">
        <f>IF(M35&lt;&gt;"",M35,IF(K35&lt;&gt;"",K35,IF(I35&lt;&gt;"",I35,"")))</f>
        <v/>
      </c>
      <c r="P35" s="55">
        <f>IF(O35="","",IF(O35="PENDIENTE","Pendiente",IF(O35="NO EJECUTABLE","No ejecutable",IF(O35="VERIFICAR","Por verificar",IF(AND(F35="No cumple",O35="CUMPLE"),"Mejora",IF(AND(F35="No cumple",O35="PARCIAL"),"Mejora parcial",IF(AND(OR(F35="Cumple",F35="Sin ejecutar"),OR(O35="NO CUMPLE",O35="PARCIAL")),IF(F35="Cumple","Regresión","Falla nueva"),IF(AND(F35="No cumple",O35="NO CUMPLE"),"Sigue fallando","Se mantiene"))))))))</f>
        <v/>
      </c>
    </row>
    <row r="36" ht="15" customHeight="1" s="29">
      <c r="A36" s="34" t="n">
        <v>23</v>
      </c>
      <c r="B36" s="34" t="n">
        <v>23</v>
      </c>
      <c r="C36" s="34" t="inlineStr">
        <is>
          <t>Completar con similares - Marcar NO</t>
        </is>
      </c>
      <c r="D36" s="34" t="n"/>
      <c r="E36" s="34" t="n"/>
      <c r="F36" s="53" t="inlineStr">
        <is>
          <t>Cumple</t>
        </is>
      </c>
      <c r="G36" s="53" t="n"/>
      <c r="H36" s="53" t="n"/>
      <c r="I36" s="54" t="n"/>
      <c r="J36" s="54" t="n"/>
      <c r="K36" s="54" t="n"/>
      <c r="L36" s="54" t="n"/>
      <c r="M36" s="54" t="n"/>
      <c r="N36" s="54" t="n"/>
      <c r="O36" s="55">
        <f>IF(M36&lt;&gt;"",M36,IF(K36&lt;&gt;"",K36,IF(I36&lt;&gt;"",I36,"")))</f>
        <v/>
      </c>
      <c r="P36" s="55">
        <f>IF(O36="","",IF(O36="PENDIENTE","Pendiente",IF(O36="NO EJECUTABLE","No ejecutable",IF(O36="VERIFICAR","Por verificar",IF(AND(F36="No cumple",O36="CUMPLE"),"Mejora",IF(AND(F36="No cumple",O36="PARCIAL"),"Mejora parcial",IF(AND(OR(F36="Cumple",F36="Sin ejecutar"),OR(O36="NO CUMPLE",O36="PARCIAL")),IF(F36="Cumple","Regresión","Falla nueva"),IF(AND(F36="No cumple",O36="NO CUMPLE"),"Sigue fallando","Se mantiene"))))))))</f>
        <v/>
      </c>
    </row>
    <row r="37" ht="46.25" customHeight="1" s="29">
      <c r="A37" s="34" t="n">
        <v>24</v>
      </c>
      <c r="B37" s="34" t="n">
        <v>24</v>
      </c>
      <c r="C37" s="34" t="inlineStr">
        <is>
          <t>Agregar registro</t>
        </is>
      </c>
      <c r="D37" s="34" t="inlineStr">
        <is>
          <t>Validamos que se muestra la Matriz de información (Fecha, hora, productos, Turnos, Totales (personal y monto))
Validar el ID del Detalle del pedido</t>
        </is>
      </c>
      <c r="E37" s="34" t="n"/>
      <c r="F37" s="53" t="inlineStr">
        <is>
          <t>Cumple</t>
        </is>
      </c>
      <c r="G37" s="53" t="n"/>
      <c r="H37" s="53" t="n"/>
      <c r="I37" s="54" t="n"/>
      <c r="J37" s="54" t="n"/>
      <c r="K37" s="54" t="n"/>
      <c r="L37" s="54" t="n"/>
      <c r="M37" s="54" t="n"/>
      <c r="N37" s="54" t="n"/>
      <c r="O37" s="55">
        <f>IF(M37&lt;&gt;"",M37,IF(K37&lt;&gt;"",K37,IF(I37&lt;&gt;"",I37,"")))</f>
        <v/>
      </c>
      <c r="P37" s="55">
        <f>IF(O37="","",IF(O37="PENDIENTE","Pendiente",IF(O37="NO EJECUTABLE","No ejecutable",IF(O37="VERIFICAR","Por verificar",IF(AND(F37="No cumple",O37="CUMPLE"),"Mejora",IF(AND(F37="No cumple",O37="PARCIAL"),"Mejora parcial",IF(AND(OR(F37="Cumple",F37="Sin ejecutar"),OR(O37="NO CUMPLE",O37="PARCIAL")),IF(F37="Cumple","Regresión","Falla nueva"),IF(AND(F37="No cumple",O37="NO CUMPLE"),"Sigue fallando","Se mantiene"))))))))</f>
        <v/>
      </c>
    </row>
    <row r="38" ht="15" customHeight="1" s="29">
      <c r="A38" s="34" t="n">
        <v>25</v>
      </c>
      <c r="B38" s="34" t="n">
        <v>25</v>
      </c>
      <c r="C38" s="34" t="inlineStr">
        <is>
          <t>Seleccionar Producto Anfitrion Uncluyente-IN</t>
        </is>
      </c>
      <c r="D38" s="34" t="n"/>
      <c r="E38" s="34" t="n"/>
      <c r="F38" s="53" t="inlineStr">
        <is>
          <t>Sin ejecutar</t>
        </is>
      </c>
      <c r="G38" s="53" t="n"/>
      <c r="H38" s="53" t="n"/>
      <c r="I38" s="54" t="n"/>
      <c r="J38" s="54" t="n"/>
      <c r="K38" s="54" t="n"/>
      <c r="L38" s="54" t="n"/>
      <c r="M38" s="54" t="n"/>
      <c r="N38" s="54" t="n"/>
      <c r="O38" s="55">
        <f>IF(M38&lt;&gt;"",M38,IF(K38&lt;&gt;"",K38,IF(I38&lt;&gt;"",I38,"")))</f>
        <v/>
      </c>
      <c r="P38" s="55">
        <f>IF(O38="","",IF(O38="PENDIENTE","Pendiente",IF(O38="NO EJECUTABLE","No ejecutable",IF(O38="VERIFICAR","Por verificar",IF(AND(F38="No cumple",O38="CUMPLE"),"Mejora",IF(AND(F38="No cumple",O38="PARCIAL"),"Mejora parcial",IF(AND(OR(F38="Cumple",F38="Sin ejecutar"),OR(O38="NO CUMPLE",O38="PARCIAL")),IF(F38="Cumple","Regresión","Falla nueva"),IF(AND(F38="No cumple",O38="NO CUMPLE"),"Sigue fallando","Se mantiene"))))))))</f>
        <v/>
      </c>
    </row>
    <row r="39" ht="23.85" customHeight="1" s="29">
      <c r="A39" s="34" t="n">
        <v>26</v>
      </c>
      <c r="B39" s="34" t="n">
        <v>26</v>
      </c>
      <c r="C39" s="34" t="inlineStr">
        <is>
          <t>Validar que el sistema muestra las horas por turno de ese producto</t>
        </is>
      </c>
      <c r="D39" s="34" t="inlineStr">
        <is>
          <t>Se muestra 1 turno por 8 horas</t>
        </is>
      </c>
      <c r="E39" s="34" t="n"/>
      <c r="F39" s="53" t="inlineStr">
        <is>
          <t>No cumple</t>
        </is>
      </c>
      <c r="G39" s="53" t="n"/>
      <c r="H39" s="53" t="n"/>
      <c r="I39" s="54" t="n"/>
      <c r="J39" s="54" t="n"/>
      <c r="K39" s="54" t="n"/>
      <c r="L39" s="54" t="n"/>
      <c r="M39" s="54" t="n"/>
      <c r="N39" s="54" t="n"/>
      <c r="O39" s="55">
        <f>IF(M39&lt;&gt;"",M39,IF(K39&lt;&gt;"",K39,IF(I39&lt;&gt;"",I39,"")))</f>
        <v/>
      </c>
      <c r="P39" s="55">
        <f>IF(O39="","",IF(O39="PENDIENTE","Pendiente",IF(O39="NO EJECUTABLE","No ejecutable",IF(O39="VERIFICAR","Por verificar",IF(AND(F39="No cumple",O39="CUMPLE"),"Mejora",IF(AND(F39="No cumple",O39="PARCIAL"),"Mejora parcial",IF(AND(OR(F39="Cumple",F39="Sin ejecutar"),OR(O39="NO CUMPLE",O39="PARCIAL")),IF(F39="Cumple","Regresión","Falla nueva"),IF(AND(F39="No cumple",O39="NO CUMPLE"),"Sigue fallando","Se mantiene"))))))))</f>
        <v/>
      </c>
    </row>
    <row r="40" ht="15" customHeight="1" s="29">
      <c r="A40" s="34" t="n">
        <v>27</v>
      </c>
      <c r="B40" s="34" t="n">
        <v>27</v>
      </c>
      <c r="C40" s="34" t="inlineStr">
        <is>
          <t>Poner Cantidad 40 y Turnos 1</t>
        </is>
      </c>
      <c r="D40" s="34" t="n"/>
      <c r="E40" s="34" t="n"/>
      <c r="F40" s="53" t="inlineStr">
        <is>
          <t>Cumple</t>
        </is>
      </c>
      <c r="G40" s="53" t="n"/>
      <c r="H40" s="53" t="n"/>
      <c r="I40" s="54" t="n"/>
      <c r="J40" s="54" t="n"/>
      <c r="K40" s="54" t="n"/>
      <c r="L40" s="54" t="n"/>
      <c r="M40" s="54" t="n"/>
      <c r="N40" s="54" t="n"/>
      <c r="O40" s="55">
        <f>IF(M40&lt;&gt;"",M40,IF(K40&lt;&gt;"",K40,IF(I40&lt;&gt;"",I40,"")))</f>
        <v/>
      </c>
      <c r="P40" s="55">
        <f>IF(O40="","",IF(O40="PENDIENTE","Pendiente",IF(O40="NO EJECUTABLE","No ejecutable",IF(O40="VERIFICAR","Por verificar",IF(AND(F40="No cumple",O40="CUMPLE"),"Mejora",IF(AND(F40="No cumple",O40="PARCIAL"),"Mejora parcial",IF(AND(OR(F40="Cumple",F40="Sin ejecutar"),OR(O40="NO CUMPLE",O40="PARCIAL")),IF(F40="Cumple","Regresión","Falla nueva"),IF(AND(F40="No cumple",O40="NO CUMPLE"),"Sigue fallando","Se mantiene"))))))))</f>
        <v/>
      </c>
    </row>
    <row r="41" ht="23.85" customHeight="1" s="29">
      <c r="A41" s="34" t="n">
        <v>28</v>
      </c>
      <c r="B41" s="34" t="n">
        <v>28</v>
      </c>
      <c r="C41" s="34" t="inlineStr">
        <is>
          <t>Seleccionar La misma fecha de cita que en el caso anterior</t>
        </is>
      </c>
      <c r="D41" s="34" t="n"/>
      <c r="E41" s="34" t="n"/>
      <c r="F41" s="53" t="inlineStr">
        <is>
          <t>Cumple</t>
        </is>
      </c>
      <c r="G41" s="53" t="n"/>
      <c r="H41" s="53" t="n"/>
      <c r="I41" s="54" t="n"/>
      <c r="J41" s="54" t="n"/>
      <c r="K41" s="54" t="n"/>
      <c r="L41" s="54" t="n"/>
      <c r="M41" s="54" t="n"/>
      <c r="N41" s="54" t="n"/>
      <c r="O41" s="55">
        <f>IF(M41&lt;&gt;"",M41,IF(K41&lt;&gt;"",K41,IF(I41&lt;&gt;"",I41,"")))</f>
        <v/>
      </c>
      <c r="P41" s="55">
        <f>IF(O41="","",IF(O41="PENDIENTE","Pendiente",IF(O41="NO EJECUTABLE","No ejecutable",IF(O41="VERIFICAR","Por verificar",IF(AND(F41="No cumple",O41="CUMPLE"),"Mejora",IF(AND(F41="No cumple",O41="PARCIAL"),"Mejora parcial",IF(AND(OR(F41="Cumple",F41="Sin ejecutar"),OR(O41="NO CUMPLE",O41="PARCIAL")),IF(F41="Cumple","Regresión","Falla nueva"),IF(AND(F41="No cumple",O41="NO CUMPLE"),"Sigue fallando","Se mantiene"))))))))</f>
        <v/>
      </c>
    </row>
    <row r="42" ht="35.05" customHeight="1" s="29">
      <c r="A42" s="34" t="n">
        <v>29</v>
      </c>
      <c r="B42" s="34" t="n">
        <v>29</v>
      </c>
      <c r="C42" s="34" t="inlineStr">
        <is>
          <t>Seleccionar una fecha de liberación posterior</t>
        </is>
      </c>
      <c r="D42" s="34" t="inlineStr">
        <is>
          <t>El sistema debe de mostrar una alerta por que no puede ser la fecha de liberación posterior a la fecha de cita</t>
        </is>
      </c>
      <c r="E42" s="34" t="n"/>
      <c r="F42" s="53" t="inlineStr">
        <is>
          <t>Cumple</t>
        </is>
      </c>
      <c r="G42" s="53" t="n"/>
      <c r="H42" s="53" t="n"/>
      <c r="I42" s="54" t="n"/>
      <c r="J42" s="54" t="n"/>
      <c r="K42" s="54" t="n"/>
      <c r="L42" s="54" t="n"/>
      <c r="M42" s="54" t="n"/>
      <c r="N42" s="54" t="n"/>
      <c r="O42" s="55">
        <f>IF(M42&lt;&gt;"",M42,IF(K42&lt;&gt;"",K42,IF(I42&lt;&gt;"",I42,"")))</f>
        <v/>
      </c>
      <c r="P42" s="55">
        <f>IF(O42="","",IF(O42="PENDIENTE","Pendiente",IF(O42="NO EJECUTABLE","No ejecutable",IF(O42="VERIFICAR","Por verificar",IF(AND(F42="No cumple",O42="CUMPLE"),"Mejora",IF(AND(F42="No cumple",O42="PARCIAL"),"Mejora parcial",IF(AND(OR(F42="Cumple",F42="Sin ejecutar"),OR(O42="NO CUMPLE",O42="PARCIAL")),IF(F42="Cumple","Regresión","Falla nueva"),IF(AND(F42="No cumple",O42="NO CUMPLE"),"Sigue fallando","Se mantiene"))))))))</f>
        <v/>
      </c>
    </row>
    <row r="43" ht="15" customHeight="1" s="29">
      <c r="A43" s="34" t="n">
        <v>30</v>
      </c>
      <c r="B43" s="34" t="n">
        <v>30</v>
      </c>
      <c r="C43" s="34" t="inlineStr">
        <is>
          <t>Seleccionar una fecha correcta de liberación</t>
        </is>
      </c>
      <c r="D43" s="34" t="n"/>
      <c r="E43" s="34" t="n"/>
      <c r="F43" s="53" t="inlineStr">
        <is>
          <t>Cumple</t>
        </is>
      </c>
      <c r="G43" s="53" t="n"/>
      <c r="H43" s="53" t="n"/>
      <c r="I43" s="54" t="n"/>
      <c r="J43" s="54" t="n"/>
      <c r="K43" s="54" t="n"/>
      <c r="L43" s="54" t="n"/>
      <c r="M43" s="54" t="n"/>
      <c r="N43" s="54" t="n"/>
      <c r="O43" s="55">
        <f>IF(M43&lt;&gt;"",M43,IF(K43&lt;&gt;"",K43,IF(I43&lt;&gt;"",I43,"")))</f>
        <v/>
      </c>
      <c r="P43" s="55">
        <f>IF(O43="","",IF(O43="PENDIENTE","Pendiente",IF(O43="NO EJECUTABLE","No ejecutable",IF(O43="VERIFICAR","Por verificar",IF(AND(F43="No cumple",O43="CUMPLE"),"Mejora",IF(AND(F43="No cumple",O43="PARCIAL"),"Mejora parcial",IF(AND(OR(F43="Cumple",F43="Sin ejecutar"),OR(O43="NO CUMPLE",O43="PARCIAL")),IF(F43="Cumple","Regresión","Falla nueva"),IF(AND(F43="No cumple",O43="NO CUMPLE"),"Sigue fallando","Se mantiene"))))))))</f>
        <v/>
      </c>
    </row>
    <row r="44" ht="23.85" customHeight="1" s="29">
      <c r="A44" s="34" t="n">
        <v>31</v>
      </c>
      <c r="B44" s="34" t="n">
        <v>31</v>
      </c>
      <c r="C44" s="34" t="inlineStr">
        <is>
          <t>En presentación por producto, validar que sólo muentren las de la unidad de negocio</t>
        </is>
      </c>
      <c r="D44" s="34" t="n"/>
      <c r="E44" s="34" t="n"/>
      <c r="F44" s="53" t="inlineStr">
        <is>
          <t>Cumple</t>
        </is>
      </c>
      <c r="G44" s="53" t="n"/>
      <c r="H44" s="53" t="n"/>
      <c r="I44" s="54" t="n"/>
      <c r="J44" s="54" t="n"/>
      <c r="K44" s="54" t="n"/>
      <c r="L44" s="54" t="n"/>
      <c r="M44" s="54" t="n"/>
      <c r="N44" s="54" t="n"/>
      <c r="O44" s="55">
        <f>IF(M44&lt;&gt;"",M44,IF(K44&lt;&gt;"",K44,IF(I44&lt;&gt;"",I44,"")))</f>
        <v/>
      </c>
      <c r="P44" s="55">
        <f>IF(O44="","",IF(O44="PENDIENTE","Pendiente",IF(O44="NO EJECUTABLE","No ejecutable",IF(O44="VERIFICAR","Por verificar",IF(AND(F44="No cumple",O44="CUMPLE"),"Mejora",IF(AND(F44="No cumple",O44="PARCIAL"),"Mejora parcial",IF(AND(OR(F44="Cumple",F44="Sin ejecutar"),OR(O44="NO CUMPLE",O44="PARCIAL")),IF(F44="Cumple","Regresión","Falla nueva"),IF(AND(F44="No cumple",O44="NO CUMPLE"),"Sigue fallando","Se mantiene"))))))))</f>
        <v/>
      </c>
    </row>
    <row r="45" ht="15" customHeight="1" s="29">
      <c r="A45" s="34" t="n">
        <v>32</v>
      </c>
      <c r="B45" s="34" t="n">
        <v>32</v>
      </c>
      <c r="C45" s="34" t="inlineStr">
        <is>
          <t>Completar con similares - Marcar NO</t>
        </is>
      </c>
      <c r="D45" s="34" t="n"/>
      <c r="E45" s="34" t="n"/>
      <c r="F45" s="53" t="inlineStr">
        <is>
          <t>Cumple</t>
        </is>
      </c>
      <c r="G45" s="53" t="n"/>
      <c r="H45" s="53" t="n"/>
      <c r="I45" s="54" t="n"/>
      <c r="J45" s="54" t="n"/>
      <c r="K45" s="54" t="n"/>
      <c r="L45" s="54" t="n"/>
      <c r="M45" s="54" t="n"/>
      <c r="N45" s="54" t="n"/>
      <c r="O45" s="55">
        <f>IF(M45&lt;&gt;"",M45,IF(K45&lt;&gt;"",K45,IF(I45&lt;&gt;"",I45,"")))</f>
        <v/>
      </c>
      <c r="P45" s="55">
        <f>IF(O45="","",IF(O45="PENDIENTE","Pendiente",IF(O45="NO EJECUTABLE","No ejecutable",IF(O45="VERIFICAR","Por verificar",IF(AND(F45="No cumple",O45="CUMPLE"),"Mejora",IF(AND(F45="No cumple",O45="PARCIAL"),"Mejora parcial",IF(AND(OR(F45="Cumple",F45="Sin ejecutar"),OR(O45="NO CUMPLE",O45="PARCIAL")),IF(F45="Cumple","Regresión","Falla nueva"),IF(AND(F45="No cumple",O45="NO CUMPLE"),"Sigue fallando","Se mantiene"))))))))</f>
        <v/>
      </c>
    </row>
    <row r="46" ht="46.25" customHeight="1" s="29">
      <c r="A46" s="34" t="n">
        <v>33</v>
      </c>
      <c r="B46" s="34" t="n">
        <v>33</v>
      </c>
      <c r="C46" s="34" t="inlineStr">
        <is>
          <t>Agregar registro</t>
        </is>
      </c>
      <c r="D46" s="34" t="inlineStr">
        <is>
          <t>Validamos que se muestra la Matriz de información (Fecha, hora, productos, Turnos, Totales (personal y monto))
Validar el ID del Detalle del pedido</t>
        </is>
      </c>
      <c r="E46" s="34" t="n"/>
      <c r="F46" s="53" t="inlineStr">
        <is>
          <t>Sin ejecutar</t>
        </is>
      </c>
      <c r="G46" s="53" t="n"/>
      <c r="H46" s="53" t="n"/>
      <c r="I46" s="54" t="n"/>
      <c r="J46" s="54" t="n"/>
      <c r="K46" s="54" t="n"/>
      <c r="L46" s="54" t="n"/>
      <c r="M46" s="54" t="n"/>
      <c r="N46" s="54" t="n"/>
      <c r="O46" s="55">
        <f>IF(M46&lt;&gt;"",M46,IF(K46&lt;&gt;"",K46,IF(I46&lt;&gt;"",I46,"")))</f>
        <v/>
      </c>
      <c r="P46" s="55">
        <f>IF(O46="","",IF(O46="PENDIENTE","Pendiente",IF(O46="NO EJECUTABLE","No ejecutable",IF(O46="VERIFICAR","Por verificar",IF(AND(F46="No cumple",O46="CUMPLE"),"Mejora",IF(AND(F46="No cumple",O46="PARCIAL"),"Mejora parcial",IF(AND(OR(F46="Cumple",F46="Sin ejecutar"),OR(O46="NO CUMPLE",O46="PARCIAL")),IF(F46="Cumple","Regresión","Falla nueva"),IF(AND(F46="No cumple",O46="NO CUMPLE"),"Sigue fallando","Se mantiene"))))))))</f>
        <v/>
      </c>
    </row>
    <row r="47" ht="15" customHeight="1" s="29">
      <c r="A47" s="34" t="n">
        <v>34</v>
      </c>
      <c r="B47" s="34" t="n">
        <v>34</v>
      </c>
      <c r="C47" s="34" t="inlineStr">
        <is>
          <t>Seleccionar Producto Control de Accesos - FE</t>
        </is>
      </c>
      <c r="D47" s="34" t="n"/>
      <c r="E47" s="34" t="n"/>
      <c r="F47" s="53" t="inlineStr">
        <is>
          <t>Sin ejecutar</t>
        </is>
      </c>
      <c r="G47" s="53" t="n"/>
      <c r="H47" s="53" t="n"/>
      <c r="I47" s="54" t="n"/>
      <c r="J47" s="54" t="n"/>
      <c r="K47" s="54" t="n"/>
      <c r="L47" s="54" t="n"/>
      <c r="M47" s="54" t="n"/>
      <c r="N47" s="54" t="n"/>
      <c r="O47" s="55">
        <f>IF(M47&lt;&gt;"",M47,IF(K47&lt;&gt;"",K47,IF(I47&lt;&gt;"",I47,"")))</f>
        <v/>
      </c>
      <c r="P47" s="55">
        <f>IF(O47="","",IF(O47="PENDIENTE","Pendiente",IF(O47="NO EJECUTABLE","No ejecutable",IF(O47="VERIFICAR","Por verificar",IF(AND(F47="No cumple",O47="CUMPLE"),"Mejora",IF(AND(F47="No cumple",O47="PARCIAL"),"Mejora parcial",IF(AND(OR(F47="Cumple",F47="Sin ejecutar"),OR(O47="NO CUMPLE",O47="PARCIAL")),IF(F47="Cumple","Regresión","Falla nueva"),IF(AND(F47="No cumple",O47="NO CUMPLE"),"Sigue fallando","Se mantiene"))))))))</f>
        <v/>
      </c>
    </row>
    <row r="48" ht="23.85" customHeight="1" s="29">
      <c r="A48" s="34" t="n">
        <v>35</v>
      </c>
      <c r="B48" s="34" t="n">
        <v>35</v>
      </c>
      <c r="C48" s="34" t="inlineStr">
        <is>
          <t>Validar que el sistema muestra las horas por turno de ese producto</t>
        </is>
      </c>
      <c r="D48" s="34" t="inlineStr">
        <is>
          <t>Se muestra 1 turno por 8 horas</t>
        </is>
      </c>
      <c r="E48" s="34" t="n"/>
      <c r="F48" s="53" t="inlineStr">
        <is>
          <t>Sin ejecutar</t>
        </is>
      </c>
      <c r="G48" s="53" t="n"/>
      <c r="H48" s="53" t="n"/>
      <c r="I48" s="54" t="n"/>
      <c r="J48" s="54" t="n"/>
      <c r="K48" s="54" t="n"/>
      <c r="L48" s="54" t="n"/>
      <c r="M48" s="54" t="n"/>
      <c r="N48" s="54" t="n"/>
      <c r="O48" s="55">
        <f>IF(M48&lt;&gt;"",M48,IF(K48&lt;&gt;"",K48,IF(I48&lt;&gt;"",I48,"")))</f>
        <v/>
      </c>
      <c r="P48" s="55">
        <f>IF(O48="","",IF(O48="PENDIENTE","Pendiente",IF(O48="NO EJECUTABLE","No ejecutable",IF(O48="VERIFICAR","Por verificar",IF(AND(F48="No cumple",O48="CUMPLE"),"Mejora",IF(AND(F48="No cumple",O48="PARCIAL"),"Mejora parcial",IF(AND(OR(F48="Cumple",F48="Sin ejecutar"),OR(O48="NO CUMPLE",O48="PARCIAL")),IF(F48="Cumple","Regresión","Falla nueva"),IF(AND(F48="No cumple",O48="NO CUMPLE"),"Sigue fallando","Se mantiene"))))))))</f>
        <v/>
      </c>
    </row>
    <row r="49" ht="15" customHeight="1" s="29">
      <c r="A49" s="34" t="n">
        <v>36</v>
      </c>
      <c r="B49" s="34" t="n">
        <v>36</v>
      </c>
      <c r="C49" s="34" t="inlineStr">
        <is>
          <t>Poner Cantidad 30 y Turnos 1</t>
        </is>
      </c>
      <c r="D49" s="34" t="n"/>
      <c r="E49" s="34" t="n"/>
      <c r="F49" s="53" t="inlineStr">
        <is>
          <t>Sin ejecutar</t>
        </is>
      </c>
      <c r="G49" s="53" t="n"/>
      <c r="H49" s="53" t="n"/>
      <c r="I49" s="54" t="n"/>
      <c r="J49" s="54" t="n"/>
      <c r="K49" s="54" t="n"/>
      <c r="L49" s="54" t="n"/>
      <c r="M49" s="54" t="n"/>
      <c r="N49" s="54" t="n"/>
      <c r="O49" s="55">
        <f>IF(M49&lt;&gt;"",M49,IF(K49&lt;&gt;"",K49,IF(I49&lt;&gt;"",I49,"")))</f>
        <v/>
      </c>
      <c r="P49" s="55">
        <f>IF(O49="","",IF(O49="PENDIENTE","Pendiente",IF(O49="NO EJECUTABLE","No ejecutable",IF(O49="VERIFICAR","Por verificar",IF(AND(F49="No cumple",O49="CUMPLE"),"Mejora",IF(AND(F49="No cumple",O49="PARCIAL"),"Mejora parcial",IF(AND(OR(F49="Cumple",F49="Sin ejecutar"),OR(O49="NO CUMPLE",O49="PARCIAL")),IF(F49="Cumple","Regresión","Falla nueva"),IF(AND(F49="No cumple",O49="NO CUMPLE"),"Sigue fallando","Se mantiene"))))))))</f>
        <v/>
      </c>
    </row>
    <row r="50" ht="23.85" customHeight="1" s="29">
      <c r="A50" s="34" t="n">
        <v>37</v>
      </c>
      <c r="B50" s="34" t="n">
        <v>37</v>
      </c>
      <c r="C50" s="34" t="inlineStr">
        <is>
          <t>Seleccionar La misma fecha de cita que en el caso anterior</t>
        </is>
      </c>
      <c r="D50" s="34" t="n"/>
      <c r="E50" s="34" t="n"/>
      <c r="F50" s="53" t="inlineStr">
        <is>
          <t>Sin ejecutar</t>
        </is>
      </c>
      <c r="G50" s="53" t="n"/>
      <c r="H50" s="53" t="n"/>
      <c r="I50" s="54" t="n"/>
      <c r="J50" s="54" t="n"/>
      <c r="K50" s="54" t="n"/>
      <c r="L50" s="54" t="n"/>
      <c r="M50" s="54" t="n"/>
      <c r="N50" s="54" t="n"/>
      <c r="O50" s="55">
        <f>IF(M50&lt;&gt;"",M50,IF(K50&lt;&gt;"",K50,IF(I50&lt;&gt;"",I50,"")))</f>
        <v/>
      </c>
      <c r="P50" s="55">
        <f>IF(O50="","",IF(O50="PENDIENTE","Pendiente",IF(O50="NO EJECUTABLE","No ejecutable",IF(O50="VERIFICAR","Por verificar",IF(AND(F50="No cumple",O50="CUMPLE"),"Mejora",IF(AND(F50="No cumple",O50="PARCIAL"),"Mejora parcial",IF(AND(OR(F50="Cumple",F50="Sin ejecutar"),OR(O50="NO CUMPLE",O50="PARCIAL")),IF(F50="Cumple","Regresión","Falla nueva"),IF(AND(F50="No cumple",O50="NO CUMPLE"),"Sigue fallando","Se mantiene"))))))))</f>
        <v/>
      </c>
    </row>
    <row r="51" ht="35.05" customHeight="1" s="29">
      <c r="A51" s="34" t="n">
        <v>38</v>
      </c>
      <c r="B51" s="34" t="n">
        <v>38</v>
      </c>
      <c r="C51" s="34" t="inlineStr">
        <is>
          <t>Seleccionar una fecha de liberación posterior</t>
        </is>
      </c>
      <c r="D51" s="34" t="inlineStr">
        <is>
          <t>El sistema debe de mostrar una alerta por que no puede ser la fecha de liberación posterior a la fecha de cita</t>
        </is>
      </c>
      <c r="E51" s="34" t="n"/>
      <c r="F51" s="53" t="inlineStr">
        <is>
          <t>Sin ejecutar</t>
        </is>
      </c>
      <c r="G51" s="53" t="n"/>
      <c r="H51" s="53" t="n"/>
      <c r="I51" s="54" t="n"/>
      <c r="J51" s="54" t="n"/>
      <c r="K51" s="54" t="n"/>
      <c r="L51" s="54" t="n"/>
      <c r="M51" s="54" t="n"/>
      <c r="N51" s="54" t="n"/>
      <c r="O51" s="55">
        <f>IF(M51&lt;&gt;"",M51,IF(K51&lt;&gt;"",K51,IF(I51&lt;&gt;"",I51,"")))</f>
        <v/>
      </c>
      <c r="P51" s="55">
        <f>IF(O51="","",IF(O51="PENDIENTE","Pendiente",IF(O51="NO EJECUTABLE","No ejecutable",IF(O51="VERIFICAR","Por verificar",IF(AND(F51="No cumple",O51="CUMPLE"),"Mejora",IF(AND(F51="No cumple",O51="PARCIAL"),"Mejora parcial",IF(AND(OR(F51="Cumple",F51="Sin ejecutar"),OR(O51="NO CUMPLE",O51="PARCIAL")),IF(F51="Cumple","Regresión","Falla nueva"),IF(AND(F51="No cumple",O51="NO CUMPLE"),"Sigue fallando","Se mantiene"))))))))</f>
        <v/>
      </c>
    </row>
    <row r="52" ht="15" customHeight="1" s="29">
      <c r="A52" s="34" t="n">
        <v>39</v>
      </c>
      <c r="B52" s="34" t="n">
        <v>39</v>
      </c>
      <c r="C52" s="34" t="inlineStr">
        <is>
          <t>Seleccionar una fecha correcta de liberación</t>
        </is>
      </c>
      <c r="D52" s="34" t="n"/>
      <c r="E52" s="34" t="n"/>
      <c r="F52" s="53" t="inlineStr">
        <is>
          <t>Sin ejecutar</t>
        </is>
      </c>
      <c r="G52" s="53" t="n"/>
      <c r="H52" s="53" t="n"/>
      <c r="I52" s="54" t="n"/>
      <c r="J52" s="54" t="n"/>
      <c r="K52" s="54" t="n"/>
      <c r="L52" s="54" t="n"/>
      <c r="M52" s="54" t="n"/>
      <c r="N52" s="54" t="n"/>
      <c r="O52" s="55">
        <f>IF(M52&lt;&gt;"",M52,IF(K52&lt;&gt;"",K52,IF(I52&lt;&gt;"",I52,"")))</f>
        <v/>
      </c>
      <c r="P52" s="55">
        <f>IF(O52="","",IF(O52="PENDIENTE","Pendiente",IF(O52="NO EJECUTABLE","No ejecutable",IF(O52="VERIFICAR","Por verificar",IF(AND(F52="No cumple",O52="CUMPLE"),"Mejora",IF(AND(F52="No cumple",O52="PARCIAL"),"Mejora parcial",IF(AND(OR(F52="Cumple",F52="Sin ejecutar"),OR(O52="NO CUMPLE",O52="PARCIAL")),IF(F52="Cumple","Regresión","Falla nueva"),IF(AND(F52="No cumple",O52="NO CUMPLE"),"Sigue fallando","Se mantiene"))))))))</f>
        <v/>
      </c>
    </row>
    <row r="53" ht="23.85" customHeight="1" s="29">
      <c r="A53" s="34" t="n">
        <v>40</v>
      </c>
      <c r="B53" s="34" t="n">
        <v>40</v>
      </c>
      <c r="C53" s="34" t="inlineStr">
        <is>
          <t>En presentación por producto, validar que sólo muentren las de la unidad de negocio</t>
        </is>
      </c>
      <c r="D53" s="34" t="n"/>
      <c r="E53" s="34" t="n"/>
      <c r="F53" s="53" t="inlineStr">
        <is>
          <t>Sin ejecutar</t>
        </is>
      </c>
      <c r="G53" s="53" t="n"/>
      <c r="H53" s="53" t="n"/>
      <c r="I53" s="54" t="n"/>
      <c r="J53" s="54" t="n"/>
      <c r="K53" s="54" t="n"/>
      <c r="L53" s="54" t="n"/>
      <c r="M53" s="54" t="n"/>
      <c r="N53" s="54" t="n"/>
      <c r="O53" s="55">
        <f>IF(M53&lt;&gt;"",M53,IF(K53&lt;&gt;"",K53,IF(I53&lt;&gt;"",I53,"")))</f>
        <v/>
      </c>
      <c r="P53" s="55">
        <f>IF(O53="","",IF(O53="PENDIENTE","Pendiente",IF(O53="NO EJECUTABLE","No ejecutable",IF(O53="VERIFICAR","Por verificar",IF(AND(F53="No cumple",O53="CUMPLE"),"Mejora",IF(AND(F53="No cumple",O53="PARCIAL"),"Mejora parcial",IF(AND(OR(F53="Cumple",F53="Sin ejecutar"),OR(O53="NO CUMPLE",O53="PARCIAL")),IF(F53="Cumple","Regresión","Falla nueva"),IF(AND(F53="No cumple",O53="NO CUMPLE"),"Sigue fallando","Se mantiene"))))))))</f>
        <v/>
      </c>
    </row>
    <row r="54" ht="15" customHeight="1" s="29">
      <c r="A54" s="34" t="n">
        <v>41</v>
      </c>
      <c r="B54" s="34" t="n">
        <v>41</v>
      </c>
      <c r="C54" s="34" t="inlineStr">
        <is>
          <t>Completar con similares - Marcar NO</t>
        </is>
      </c>
      <c r="D54" s="34" t="n"/>
      <c r="E54" s="34" t="n"/>
      <c r="F54" s="53" t="inlineStr">
        <is>
          <t>Sin ejecutar</t>
        </is>
      </c>
      <c r="G54" s="53" t="n"/>
      <c r="H54" s="53" t="n"/>
      <c r="I54" s="54" t="n"/>
      <c r="J54" s="54" t="n"/>
      <c r="K54" s="54" t="n"/>
      <c r="L54" s="54" t="n"/>
      <c r="M54" s="54" t="n"/>
      <c r="N54" s="54" t="n"/>
      <c r="O54" s="55">
        <f>IF(M54&lt;&gt;"",M54,IF(K54&lt;&gt;"",K54,IF(I54&lt;&gt;"",I54,"")))</f>
        <v/>
      </c>
      <c r="P54" s="55">
        <f>IF(O54="","",IF(O54="PENDIENTE","Pendiente",IF(O54="NO EJECUTABLE","No ejecutable",IF(O54="VERIFICAR","Por verificar",IF(AND(F54="No cumple",O54="CUMPLE"),"Mejora",IF(AND(F54="No cumple",O54="PARCIAL"),"Mejora parcial",IF(AND(OR(F54="Cumple",F54="Sin ejecutar"),OR(O54="NO CUMPLE",O54="PARCIAL")),IF(F54="Cumple","Regresión","Falla nueva"),IF(AND(F54="No cumple",O54="NO CUMPLE"),"Sigue fallando","Se mantiene"))))))))</f>
        <v/>
      </c>
    </row>
    <row r="55" ht="46.25" customHeight="1" s="29">
      <c r="A55" s="34" t="n">
        <v>42</v>
      </c>
      <c r="B55" s="34" t="n">
        <v>42</v>
      </c>
      <c r="C55" s="34" t="inlineStr">
        <is>
          <t>Agregar registro</t>
        </is>
      </c>
      <c r="D55" s="34" t="inlineStr">
        <is>
          <t>Validamos que se muestra la Matriz de información (Fecha, hora, productos, Turnos, Totales (personal y monto))
Validar el ID del Detalle del pedido</t>
        </is>
      </c>
      <c r="E55" s="34" t="n"/>
      <c r="F55" s="53" t="inlineStr">
        <is>
          <t>Sin ejecutar</t>
        </is>
      </c>
      <c r="G55" s="53" t="n"/>
      <c r="H55" s="53" t="n"/>
      <c r="I55" s="54" t="n"/>
      <c r="J55" s="54" t="n"/>
      <c r="K55" s="54" t="n"/>
      <c r="L55" s="54" t="n"/>
      <c r="M55" s="54" t="n"/>
      <c r="N55" s="54" t="n"/>
      <c r="O55" s="55">
        <f>IF(M55&lt;&gt;"",M55,IF(K55&lt;&gt;"",K55,IF(I55&lt;&gt;"",I55,"")))</f>
        <v/>
      </c>
      <c r="P55" s="55">
        <f>IF(O55="","",IF(O55="PENDIENTE","Pendiente",IF(O55="NO EJECUTABLE","No ejecutable",IF(O55="VERIFICAR","Por verificar",IF(AND(F55="No cumple",O55="CUMPLE"),"Mejora",IF(AND(F55="No cumple",O55="PARCIAL"),"Mejora parcial",IF(AND(OR(F55="Cumple",F55="Sin ejecutar"),OR(O55="NO CUMPLE",O55="PARCIAL")),IF(F55="Cumple","Regresión","Falla nueva"),IF(AND(F55="No cumple",O55="NO CUMPLE"),"Sigue fallando","Se mantiene"))))))))</f>
        <v/>
      </c>
    </row>
    <row r="56" ht="15" customHeight="1" s="29">
      <c r="A56" s="34" t="n">
        <v>43</v>
      </c>
      <c r="B56" s="34" t="n">
        <v>43</v>
      </c>
      <c r="C56" s="34" t="inlineStr">
        <is>
          <t>Seleccionar Producto Control de Accesos - MA</t>
        </is>
      </c>
      <c r="D56" s="34" t="n"/>
      <c r="E56" s="34" t="n"/>
      <c r="F56" s="53" t="inlineStr">
        <is>
          <t>Sin ejecutar</t>
        </is>
      </c>
      <c r="G56" s="53" t="n"/>
      <c r="H56" s="53" t="n"/>
      <c r="I56" s="54" t="n"/>
      <c r="J56" s="54" t="n"/>
      <c r="K56" s="54" t="n"/>
      <c r="L56" s="54" t="n"/>
      <c r="M56" s="54" t="n"/>
      <c r="N56" s="54" t="n"/>
      <c r="O56" s="55">
        <f>IF(M56&lt;&gt;"",M56,IF(K56&lt;&gt;"",K56,IF(I56&lt;&gt;"",I56,"")))</f>
        <v/>
      </c>
      <c r="P56" s="55">
        <f>IF(O56="","",IF(O56="PENDIENTE","Pendiente",IF(O56="NO EJECUTABLE","No ejecutable",IF(O56="VERIFICAR","Por verificar",IF(AND(F56="No cumple",O56="CUMPLE"),"Mejora",IF(AND(F56="No cumple",O56="PARCIAL"),"Mejora parcial",IF(AND(OR(F56="Cumple",F56="Sin ejecutar"),OR(O56="NO CUMPLE",O56="PARCIAL")),IF(F56="Cumple","Regresión","Falla nueva"),IF(AND(F56="No cumple",O56="NO CUMPLE"),"Sigue fallando","Se mantiene"))))))))</f>
        <v/>
      </c>
    </row>
    <row r="57" ht="23.85" customHeight="1" s="29">
      <c r="A57" s="34" t="n">
        <v>44</v>
      </c>
      <c r="B57" s="34" t="n">
        <v>44</v>
      </c>
      <c r="C57" s="34" t="inlineStr">
        <is>
          <t>Validar que el sistema muestra las horas por turno de ese producto</t>
        </is>
      </c>
      <c r="D57" s="34" t="inlineStr">
        <is>
          <t>Se muestra 1 turno por 8 horas</t>
        </is>
      </c>
      <c r="E57" s="34" t="n"/>
      <c r="F57" s="53" t="inlineStr">
        <is>
          <t>Sin ejecutar</t>
        </is>
      </c>
      <c r="G57" s="53" t="n"/>
      <c r="H57" s="53" t="n"/>
      <c r="I57" s="54" t="n"/>
      <c r="J57" s="54" t="n"/>
      <c r="K57" s="54" t="n"/>
      <c r="L57" s="54" t="n"/>
      <c r="M57" s="54" t="n"/>
      <c r="N57" s="54" t="n"/>
      <c r="O57" s="55">
        <f>IF(M57&lt;&gt;"",M57,IF(K57&lt;&gt;"",K57,IF(I57&lt;&gt;"",I57,"")))</f>
        <v/>
      </c>
      <c r="P57" s="55">
        <f>IF(O57="","",IF(O57="PENDIENTE","Pendiente",IF(O57="NO EJECUTABLE","No ejecutable",IF(O57="VERIFICAR","Por verificar",IF(AND(F57="No cumple",O57="CUMPLE"),"Mejora",IF(AND(F57="No cumple",O57="PARCIAL"),"Mejora parcial",IF(AND(OR(F57="Cumple",F57="Sin ejecutar"),OR(O57="NO CUMPLE",O57="PARCIAL")),IF(F57="Cumple","Regresión","Falla nueva"),IF(AND(F57="No cumple",O57="NO CUMPLE"),"Sigue fallando","Se mantiene"))))))))</f>
        <v/>
      </c>
    </row>
    <row r="58" ht="15" customHeight="1" s="29">
      <c r="A58" s="34" t="n">
        <v>45</v>
      </c>
      <c r="B58" s="34" t="n">
        <v>45</v>
      </c>
      <c r="C58" s="34" t="inlineStr">
        <is>
          <t>Poner Cantidad 30 y Turnos 1</t>
        </is>
      </c>
      <c r="D58" s="34" t="n"/>
      <c r="E58" s="34" t="n"/>
      <c r="F58" s="53" t="inlineStr">
        <is>
          <t>Sin ejecutar</t>
        </is>
      </c>
      <c r="G58" s="53" t="n"/>
      <c r="H58" s="53" t="n"/>
      <c r="I58" s="54" t="n"/>
      <c r="J58" s="54" t="n"/>
      <c r="K58" s="54" t="n"/>
      <c r="L58" s="54" t="n"/>
      <c r="M58" s="54" t="n"/>
      <c r="N58" s="54" t="n"/>
      <c r="O58" s="55">
        <f>IF(M58&lt;&gt;"",M58,IF(K58&lt;&gt;"",K58,IF(I58&lt;&gt;"",I58,"")))</f>
        <v/>
      </c>
      <c r="P58" s="55">
        <f>IF(O58="","",IF(O58="PENDIENTE","Pendiente",IF(O58="NO EJECUTABLE","No ejecutable",IF(O58="VERIFICAR","Por verificar",IF(AND(F58="No cumple",O58="CUMPLE"),"Mejora",IF(AND(F58="No cumple",O58="PARCIAL"),"Mejora parcial",IF(AND(OR(F58="Cumple",F58="Sin ejecutar"),OR(O58="NO CUMPLE",O58="PARCIAL")),IF(F58="Cumple","Regresión","Falla nueva"),IF(AND(F58="No cumple",O58="NO CUMPLE"),"Sigue fallando","Se mantiene"))))))))</f>
        <v/>
      </c>
    </row>
    <row r="59" ht="23.85" customHeight="1" s="29">
      <c r="A59" s="34" t="n">
        <v>46</v>
      </c>
      <c r="B59" s="34" t="n">
        <v>46</v>
      </c>
      <c r="C59" s="34" t="inlineStr">
        <is>
          <t>Seleccionar La misma fecha de cita que en el caso anterior</t>
        </is>
      </c>
      <c r="D59" s="34" t="n"/>
      <c r="E59" s="34" t="n"/>
      <c r="F59" s="53" t="inlineStr">
        <is>
          <t>Sin ejecutar</t>
        </is>
      </c>
      <c r="G59" s="53" t="n"/>
      <c r="H59" s="53" t="n"/>
      <c r="I59" s="54" t="n"/>
      <c r="J59" s="54" t="n"/>
      <c r="K59" s="54" t="n"/>
      <c r="L59" s="54" t="n"/>
      <c r="M59" s="54" t="n"/>
      <c r="N59" s="54" t="n"/>
      <c r="O59" s="55">
        <f>IF(M59&lt;&gt;"",M59,IF(K59&lt;&gt;"",K59,IF(I59&lt;&gt;"",I59,"")))</f>
        <v/>
      </c>
      <c r="P59" s="55">
        <f>IF(O59="","",IF(O59="PENDIENTE","Pendiente",IF(O59="NO EJECUTABLE","No ejecutable",IF(O59="VERIFICAR","Por verificar",IF(AND(F59="No cumple",O59="CUMPLE"),"Mejora",IF(AND(F59="No cumple",O59="PARCIAL"),"Mejora parcial",IF(AND(OR(F59="Cumple",F59="Sin ejecutar"),OR(O59="NO CUMPLE",O59="PARCIAL")),IF(F59="Cumple","Regresión","Falla nueva"),IF(AND(F59="No cumple",O59="NO CUMPLE"),"Sigue fallando","Se mantiene"))))))))</f>
        <v/>
      </c>
    </row>
    <row r="60" ht="35.05" customHeight="1" s="29">
      <c r="A60" s="34" t="n">
        <v>47</v>
      </c>
      <c r="B60" s="34" t="n">
        <v>47</v>
      </c>
      <c r="C60" s="34" t="inlineStr">
        <is>
          <t>Seleccionar una fecha de liberación posterior</t>
        </is>
      </c>
      <c r="D60" s="34" t="inlineStr">
        <is>
          <t>El sistema debe de mostrar una alerta por que no puede ser la fecha de liberación posterior a la fecha de cita</t>
        </is>
      </c>
      <c r="E60" s="34" t="n"/>
      <c r="F60" s="53" t="inlineStr">
        <is>
          <t>Sin ejecutar</t>
        </is>
      </c>
      <c r="G60" s="53" t="n"/>
      <c r="H60" s="53" t="n"/>
      <c r="I60" s="54" t="n"/>
      <c r="J60" s="54" t="n"/>
      <c r="K60" s="54" t="n"/>
      <c r="L60" s="54" t="n"/>
      <c r="M60" s="54" t="n"/>
      <c r="N60" s="54" t="n"/>
      <c r="O60" s="55">
        <f>IF(M60&lt;&gt;"",M60,IF(K60&lt;&gt;"",K60,IF(I60&lt;&gt;"",I60,"")))</f>
        <v/>
      </c>
      <c r="P60" s="55">
        <f>IF(O60="","",IF(O60="PENDIENTE","Pendiente",IF(O60="NO EJECUTABLE","No ejecutable",IF(O60="VERIFICAR","Por verificar",IF(AND(F60="No cumple",O60="CUMPLE"),"Mejora",IF(AND(F60="No cumple",O60="PARCIAL"),"Mejora parcial",IF(AND(OR(F60="Cumple",F60="Sin ejecutar"),OR(O60="NO CUMPLE",O60="PARCIAL")),IF(F60="Cumple","Regresión","Falla nueva"),IF(AND(F60="No cumple",O60="NO CUMPLE"),"Sigue fallando","Se mantiene"))))))))</f>
        <v/>
      </c>
    </row>
    <row r="61" ht="15" customHeight="1" s="29">
      <c r="A61" s="34" t="n">
        <v>48</v>
      </c>
      <c r="B61" s="34" t="n">
        <v>48</v>
      </c>
      <c r="C61" s="34" t="inlineStr">
        <is>
          <t>Seleccionar una fecha correcta de liberación</t>
        </is>
      </c>
      <c r="D61" s="34" t="n"/>
      <c r="E61" s="34" t="n"/>
      <c r="F61" s="53" t="inlineStr">
        <is>
          <t>Sin ejecutar</t>
        </is>
      </c>
      <c r="G61" s="53" t="n"/>
      <c r="H61" s="53" t="n"/>
      <c r="I61" s="54" t="n"/>
      <c r="J61" s="54" t="n"/>
      <c r="K61" s="54" t="n"/>
      <c r="L61" s="54" t="n"/>
      <c r="M61" s="54" t="n"/>
      <c r="N61" s="54" t="n"/>
      <c r="O61" s="55">
        <f>IF(M61&lt;&gt;"",M61,IF(K61&lt;&gt;"",K61,IF(I61&lt;&gt;"",I61,"")))</f>
        <v/>
      </c>
      <c r="P61" s="55">
        <f>IF(O61="","",IF(O61="PENDIENTE","Pendiente",IF(O61="NO EJECUTABLE","No ejecutable",IF(O61="VERIFICAR","Por verificar",IF(AND(F61="No cumple",O61="CUMPLE"),"Mejora",IF(AND(F61="No cumple",O61="PARCIAL"),"Mejora parcial",IF(AND(OR(F61="Cumple",F61="Sin ejecutar"),OR(O61="NO CUMPLE",O61="PARCIAL")),IF(F61="Cumple","Regresión","Falla nueva"),IF(AND(F61="No cumple",O61="NO CUMPLE"),"Sigue fallando","Se mantiene"))))))))</f>
        <v/>
      </c>
    </row>
    <row r="62" ht="23.85" customHeight="1" s="29">
      <c r="A62" s="34" t="n">
        <v>49</v>
      </c>
      <c r="B62" s="34" t="n">
        <v>49</v>
      </c>
      <c r="C62" s="34" t="inlineStr">
        <is>
          <t>En presentación por producto, validar que sólo muentren las de la unidad de negocio</t>
        </is>
      </c>
      <c r="D62" s="34" t="n"/>
      <c r="E62" s="34" t="n"/>
      <c r="F62" s="53" t="inlineStr">
        <is>
          <t>Sin ejecutar</t>
        </is>
      </c>
      <c r="G62" s="53" t="n"/>
      <c r="H62" s="53" t="n"/>
      <c r="I62" s="54" t="n"/>
      <c r="J62" s="54" t="n"/>
      <c r="K62" s="54" t="n"/>
      <c r="L62" s="54" t="n"/>
      <c r="M62" s="54" t="n"/>
      <c r="N62" s="54" t="n"/>
      <c r="O62" s="55">
        <f>IF(M62&lt;&gt;"",M62,IF(K62&lt;&gt;"",K62,IF(I62&lt;&gt;"",I62,"")))</f>
        <v/>
      </c>
      <c r="P62" s="55">
        <f>IF(O62="","",IF(O62="PENDIENTE","Pendiente",IF(O62="NO EJECUTABLE","No ejecutable",IF(O62="VERIFICAR","Por verificar",IF(AND(F62="No cumple",O62="CUMPLE"),"Mejora",IF(AND(F62="No cumple",O62="PARCIAL"),"Mejora parcial",IF(AND(OR(F62="Cumple",F62="Sin ejecutar"),OR(O62="NO CUMPLE",O62="PARCIAL")),IF(F62="Cumple","Regresión","Falla nueva"),IF(AND(F62="No cumple",O62="NO CUMPLE"),"Sigue fallando","Se mantiene"))))))))</f>
        <v/>
      </c>
    </row>
    <row r="63" ht="15" customHeight="1" s="29">
      <c r="A63" s="34" t="n">
        <v>50</v>
      </c>
      <c r="B63" s="34" t="n">
        <v>50</v>
      </c>
      <c r="C63" s="34" t="inlineStr">
        <is>
          <t>Completar con similares - Marcar NO</t>
        </is>
      </c>
      <c r="D63" s="34" t="n"/>
      <c r="E63" s="34" t="n"/>
      <c r="F63" s="53" t="inlineStr">
        <is>
          <t>Sin ejecutar</t>
        </is>
      </c>
      <c r="G63" s="53" t="n"/>
      <c r="H63" s="53" t="n"/>
      <c r="I63" s="54" t="n"/>
      <c r="J63" s="54" t="n"/>
      <c r="K63" s="54" t="n"/>
      <c r="L63" s="54" t="n"/>
      <c r="M63" s="54" t="n"/>
      <c r="N63" s="54" t="n"/>
      <c r="O63" s="55">
        <f>IF(M63&lt;&gt;"",M63,IF(K63&lt;&gt;"",K63,IF(I63&lt;&gt;"",I63,"")))</f>
        <v/>
      </c>
      <c r="P63" s="55">
        <f>IF(O63="","",IF(O63="PENDIENTE","Pendiente",IF(O63="NO EJECUTABLE","No ejecutable",IF(O63="VERIFICAR","Por verificar",IF(AND(F63="No cumple",O63="CUMPLE"),"Mejora",IF(AND(F63="No cumple",O63="PARCIAL"),"Mejora parcial",IF(AND(OR(F63="Cumple",F63="Sin ejecutar"),OR(O63="NO CUMPLE",O63="PARCIAL")),IF(F63="Cumple","Regresión","Falla nueva"),IF(AND(F63="No cumple",O63="NO CUMPLE"),"Sigue fallando","Se mantiene"))))))))</f>
        <v/>
      </c>
    </row>
    <row r="64" ht="46.25" customHeight="1" s="29">
      <c r="A64" s="34" t="n">
        <v>51</v>
      </c>
      <c r="B64" s="34" t="n">
        <v>51</v>
      </c>
      <c r="C64" s="34" t="inlineStr">
        <is>
          <t>Agregar registro</t>
        </is>
      </c>
      <c r="D64" s="34" t="inlineStr">
        <is>
          <t>Validamos que se muestra la Matriz de información (Fecha, hora, productos, Turnos, Totales (personal y monto))
Validar el ID del Detalle del pedido</t>
        </is>
      </c>
      <c r="E64" s="34" t="n"/>
      <c r="F64" s="53" t="inlineStr">
        <is>
          <t>Sin ejecutar</t>
        </is>
      </c>
      <c r="G64" s="53" t="n"/>
      <c r="H64" s="53" t="n"/>
      <c r="I64" s="54" t="n"/>
      <c r="J64" s="54" t="n"/>
      <c r="K64" s="54" t="n"/>
      <c r="L64" s="54" t="n"/>
      <c r="M64" s="54" t="n"/>
      <c r="N64" s="54" t="n"/>
      <c r="O64" s="55">
        <f>IF(M64&lt;&gt;"",M64,IF(K64&lt;&gt;"",K64,IF(I64&lt;&gt;"",I64,"")))</f>
        <v/>
      </c>
      <c r="P64" s="55">
        <f>IF(O64="","",IF(O64="PENDIENTE","Pendiente",IF(O64="NO EJECUTABLE","No ejecutable",IF(O64="VERIFICAR","Por verificar",IF(AND(F64="No cumple",O64="CUMPLE"),"Mejora",IF(AND(F64="No cumple",O64="PARCIAL"),"Mejora parcial",IF(AND(OR(F64="Cumple",F64="Sin ejecutar"),OR(O64="NO CUMPLE",O64="PARCIAL")),IF(F64="Cumple","Regresión","Falla nueva"),IF(AND(F64="No cumple",O64="NO CUMPLE"),"Sigue fallando","Se mantiene"))))))))</f>
        <v/>
      </c>
    </row>
    <row r="65" ht="15" customHeight="1" s="29">
      <c r="A65" s="34" t="n">
        <v>52</v>
      </c>
      <c r="B65" s="34" t="n">
        <v>52</v>
      </c>
      <c r="C65" s="34" t="inlineStr">
        <is>
          <t>Seleccionar Producto Local Crew - FE</t>
        </is>
      </c>
      <c r="D65" s="34" t="n"/>
      <c r="E65" s="34" t="n"/>
      <c r="F65" s="53" t="inlineStr">
        <is>
          <t>Sin ejecutar</t>
        </is>
      </c>
      <c r="G65" s="53" t="n"/>
      <c r="H65" s="53" t="n"/>
      <c r="I65" s="54" t="n"/>
      <c r="J65" s="54" t="n"/>
      <c r="K65" s="54" t="n"/>
      <c r="L65" s="54" t="n"/>
      <c r="M65" s="54" t="n"/>
      <c r="N65" s="54" t="n"/>
      <c r="O65" s="55">
        <f>IF(M65&lt;&gt;"",M65,IF(K65&lt;&gt;"",K65,IF(I65&lt;&gt;"",I65,"")))</f>
        <v/>
      </c>
      <c r="P65" s="55">
        <f>IF(O65="","",IF(O65="PENDIENTE","Pendiente",IF(O65="NO EJECUTABLE","No ejecutable",IF(O65="VERIFICAR","Por verificar",IF(AND(F65="No cumple",O65="CUMPLE"),"Mejora",IF(AND(F65="No cumple",O65="PARCIAL"),"Mejora parcial",IF(AND(OR(F65="Cumple",F65="Sin ejecutar"),OR(O65="NO CUMPLE",O65="PARCIAL")),IF(F65="Cumple","Regresión","Falla nueva"),IF(AND(F65="No cumple",O65="NO CUMPLE"),"Sigue fallando","Se mantiene"))))))))</f>
        <v/>
      </c>
    </row>
    <row r="66" ht="23.85" customHeight="1" s="29">
      <c r="A66" s="34" t="n">
        <v>53</v>
      </c>
      <c r="B66" s="34" t="n">
        <v>53</v>
      </c>
      <c r="C66" s="34" t="inlineStr">
        <is>
          <t>Validar que el sistema muestra las horas por turno de ese producto</t>
        </is>
      </c>
      <c r="D66" s="34" t="inlineStr">
        <is>
          <t>Se muestra 1 turno por 8 horas</t>
        </is>
      </c>
      <c r="E66" s="34" t="n"/>
      <c r="F66" s="53" t="inlineStr">
        <is>
          <t>Sin ejecutar</t>
        </is>
      </c>
      <c r="G66" s="53" t="n"/>
      <c r="H66" s="53" t="n"/>
      <c r="I66" s="54" t="n"/>
      <c r="J66" s="54" t="n"/>
      <c r="K66" s="54" t="n"/>
      <c r="L66" s="54" t="n"/>
      <c r="M66" s="54" t="n"/>
      <c r="N66" s="54" t="n"/>
      <c r="O66" s="55">
        <f>IF(M66&lt;&gt;"",M66,IF(K66&lt;&gt;"",K66,IF(I66&lt;&gt;"",I66,"")))</f>
        <v/>
      </c>
      <c r="P66" s="55">
        <f>IF(O66="","",IF(O66="PENDIENTE","Pendiente",IF(O66="NO EJECUTABLE","No ejecutable",IF(O66="VERIFICAR","Por verificar",IF(AND(F66="No cumple",O66="CUMPLE"),"Mejora",IF(AND(F66="No cumple",O66="PARCIAL"),"Mejora parcial",IF(AND(OR(F66="Cumple",F66="Sin ejecutar"),OR(O66="NO CUMPLE",O66="PARCIAL")),IF(F66="Cumple","Regresión","Falla nueva"),IF(AND(F66="No cumple",O66="NO CUMPLE"),"Sigue fallando","Se mantiene"))))))))</f>
        <v/>
      </c>
    </row>
    <row r="67" ht="15" customHeight="1" s="29">
      <c r="A67" s="34" t="n">
        <v>54</v>
      </c>
      <c r="B67" s="34" t="n">
        <v>54</v>
      </c>
      <c r="C67" s="34" t="inlineStr">
        <is>
          <t>Poner Cantidad 40 y Turnos 1</t>
        </is>
      </c>
      <c r="D67" s="34" t="n"/>
      <c r="E67" s="34" t="n"/>
      <c r="F67" s="53" t="inlineStr">
        <is>
          <t>Sin ejecutar</t>
        </is>
      </c>
      <c r="G67" s="53" t="n"/>
      <c r="H67" s="53" t="n"/>
      <c r="I67" s="54" t="n"/>
      <c r="J67" s="54" t="n"/>
      <c r="K67" s="54" t="n"/>
      <c r="L67" s="54" t="n"/>
      <c r="M67" s="54" t="n"/>
      <c r="N67" s="54" t="n"/>
      <c r="O67" s="55">
        <f>IF(M67&lt;&gt;"",M67,IF(K67&lt;&gt;"",K67,IF(I67&lt;&gt;"",I67,"")))</f>
        <v/>
      </c>
      <c r="P67" s="55">
        <f>IF(O67="","",IF(O67="PENDIENTE","Pendiente",IF(O67="NO EJECUTABLE","No ejecutable",IF(O67="VERIFICAR","Por verificar",IF(AND(F67="No cumple",O67="CUMPLE"),"Mejora",IF(AND(F67="No cumple",O67="PARCIAL"),"Mejora parcial",IF(AND(OR(F67="Cumple",F67="Sin ejecutar"),OR(O67="NO CUMPLE",O67="PARCIAL")),IF(F67="Cumple","Regresión","Falla nueva"),IF(AND(F67="No cumple",O67="NO CUMPLE"),"Sigue fallando","Se mantiene"))))))))</f>
        <v/>
      </c>
    </row>
    <row r="68" ht="23.85" customHeight="1" s="29">
      <c r="A68" s="34" t="n">
        <v>55</v>
      </c>
      <c r="B68" s="34" t="n">
        <v>55</v>
      </c>
      <c r="C68" s="34" t="inlineStr">
        <is>
          <t>Seleccionar La misma fecha de cita que en el caso anterior</t>
        </is>
      </c>
      <c r="D68" s="34" t="n"/>
      <c r="E68" s="34" t="n"/>
      <c r="F68" s="53" t="inlineStr">
        <is>
          <t>Sin ejecutar</t>
        </is>
      </c>
      <c r="G68" s="53" t="n"/>
      <c r="H68" s="53" t="n"/>
      <c r="I68" s="54" t="n"/>
      <c r="J68" s="54" t="n"/>
      <c r="K68" s="54" t="n"/>
      <c r="L68" s="54" t="n"/>
      <c r="M68" s="54" t="n"/>
      <c r="N68" s="54" t="n"/>
      <c r="O68" s="55">
        <f>IF(M68&lt;&gt;"",M68,IF(K68&lt;&gt;"",K68,IF(I68&lt;&gt;"",I68,"")))</f>
        <v/>
      </c>
      <c r="P68" s="55">
        <f>IF(O68="","",IF(O68="PENDIENTE","Pendiente",IF(O68="NO EJECUTABLE","No ejecutable",IF(O68="VERIFICAR","Por verificar",IF(AND(F68="No cumple",O68="CUMPLE"),"Mejora",IF(AND(F68="No cumple",O68="PARCIAL"),"Mejora parcial",IF(AND(OR(F68="Cumple",F68="Sin ejecutar"),OR(O68="NO CUMPLE",O68="PARCIAL")),IF(F68="Cumple","Regresión","Falla nueva"),IF(AND(F68="No cumple",O68="NO CUMPLE"),"Sigue fallando","Se mantiene"))))))))</f>
        <v/>
      </c>
    </row>
    <row r="69" ht="35.05" customHeight="1" s="29">
      <c r="A69" s="34" t="n">
        <v>56</v>
      </c>
      <c r="B69" s="34" t="n">
        <v>56</v>
      </c>
      <c r="C69" s="34" t="inlineStr">
        <is>
          <t>Seleccionar una fecha de liberación posterior</t>
        </is>
      </c>
      <c r="D69" s="34" t="inlineStr">
        <is>
          <t>El sistema debe de mostrar una alerta por que no puede ser la fecha de liberación posterior a la fecha de cita</t>
        </is>
      </c>
      <c r="E69" s="34" t="n"/>
      <c r="F69" s="53" t="inlineStr">
        <is>
          <t>Sin ejecutar</t>
        </is>
      </c>
      <c r="G69" s="53" t="n"/>
      <c r="H69" s="53" t="n"/>
      <c r="I69" s="54" t="n"/>
      <c r="J69" s="54" t="n"/>
      <c r="K69" s="54" t="n"/>
      <c r="L69" s="54" t="n"/>
      <c r="M69" s="54" t="n"/>
      <c r="N69" s="54" t="n"/>
      <c r="O69" s="55">
        <f>IF(M69&lt;&gt;"",M69,IF(K69&lt;&gt;"",K69,IF(I69&lt;&gt;"",I69,"")))</f>
        <v/>
      </c>
      <c r="P69" s="55">
        <f>IF(O69="","",IF(O69="PENDIENTE","Pendiente",IF(O69="NO EJECUTABLE","No ejecutable",IF(O69="VERIFICAR","Por verificar",IF(AND(F69="No cumple",O69="CUMPLE"),"Mejora",IF(AND(F69="No cumple",O69="PARCIAL"),"Mejora parcial",IF(AND(OR(F69="Cumple",F69="Sin ejecutar"),OR(O69="NO CUMPLE",O69="PARCIAL")),IF(F69="Cumple","Regresión","Falla nueva"),IF(AND(F69="No cumple",O69="NO CUMPLE"),"Sigue fallando","Se mantiene"))))))))</f>
        <v/>
      </c>
    </row>
    <row r="70" ht="15" customHeight="1" s="29">
      <c r="A70" s="34" t="n">
        <v>57</v>
      </c>
      <c r="B70" s="34" t="n">
        <v>57</v>
      </c>
      <c r="C70" s="34" t="inlineStr">
        <is>
          <t>Seleccionar una fecha correcta de liberación</t>
        </is>
      </c>
      <c r="D70" s="34" t="n"/>
      <c r="E70" s="34" t="n"/>
      <c r="F70" s="53" t="inlineStr">
        <is>
          <t>Sin ejecutar</t>
        </is>
      </c>
      <c r="G70" s="53" t="n"/>
      <c r="H70" s="53" t="n"/>
      <c r="I70" s="54" t="n"/>
      <c r="J70" s="54" t="n"/>
      <c r="K70" s="54" t="n"/>
      <c r="L70" s="54" t="n"/>
      <c r="M70" s="54" t="n"/>
      <c r="N70" s="54" t="n"/>
      <c r="O70" s="55">
        <f>IF(M70&lt;&gt;"",M70,IF(K70&lt;&gt;"",K70,IF(I70&lt;&gt;"",I70,"")))</f>
        <v/>
      </c>
      <c r="P70" s="55">
        <f>IF(O70="","",IF(O70="PENDIENTE","Pendiente",IF(O70="NO EJECUTABLE","No ejecutable",IF(O70="VERIFICAR","Por verificar",IF(AND(F70="No cumple",O70="CUMPLE"),"Mejora",IF(AND(F70="No cumple",O70="PARCIAL"),"Mejora parcial",IF(AND(OR(F70="Cumple",F70="Sin ejecutar"),OR(O70="NO CUMPLE",O70="PARCIAL")),IF(F70="Cumple","Regresión","Falla nueva"),IF(AND(F70="No cumple",O70="NO CUMPLE"),"Sigue fallando","Se mantiene"))))))))</f>
        <v/>
      </c>
    </row>
    <row r="71" ht="23.85" customHeight="1" s="29">
      <c r="A71" s="34" t="n">
        <v>58</v>
      </c>
      <c r="B71" s="34" t="n">
        <v>58</v>
      </c>
      <c r="C71" s="34" t="inlineStr">
        <is>
          <t>En presentación por producto, validar que sólo muentren las de la unidad de negocio</t>
        </is>
      </c>
      <c r="D71" s="34" t="n"/>
      <c r="E71" s="34" t="n"/>
      <c r="F71" s="53" t="inlineStr">
        <is>
          <t>Sin ejecutar</t>
        </is>
      </c>
      <c r="G71" s="53" t="n"/>
      <c r="H71" s="53" t="n"/>
      <c r="I71" s="54" t="n"/>
      <c r="J71" s="54" t="n"/>
      <c r="K71" s="54" t="n"/>
      <c r="L71" s="54" t="n"/>
      <c r="M71" s="54" t="n"/>
      <c r="N71" s="54" t="n"/>
      <c r="O71" s="55">
        <f>IF(M71&lt;&gt;"",M71,IF(K71&lt;&gt;"",K71,IF(I71&lt;&gt;"",I71,"")))</f>
        <v/>
      </c>
      <c r="P71" s="55">
        <f>IF(O71="","",IF(O71="PENDIENTE","Pendiente",IF(O71="NO EJECUTABLE","No ejecutable",IF(O71="VERIFICAR","Por verificar",IF(AND(F71="No cumple",O71="CUMPLE"),"Mejora",IF(AND(F71="No cumple",O71="PARCIAL"),"Mejora parcial",IF(AND(OR(F71="Cumple",F71="Sin ejecutar"),OR(O71="NO CUMPLE",O71="PARCIAL")),IF(F71="Cumple","Regresión","Falla nueva"),IF(AND(F71="No cumple",O71="NO CUMPLE"),"Sigue fallando","Se mantiene"))))))))</f>
        <v/>
      </c>
    </row>
    <row r="72" ht="15" customHeight="1" s="29">
      <c r="A72" s="34" t="n">
        <v>59</v>
      </c>
      <c r="B72" s="34" t="n">
        <v>59</v>
      </c>
      <c r="C72" s="34" t="inlineStr">
        <is>
          <t>Completar con similares - Marcar NO</t>
        </is>
      </c>
      <c r="D72" s="34" t="n"/>
      <c r="E72" s="34" t="n"/>
      <c r="F72" s="53" t="inlineStr">
        <is>
          <t>Sin ejecutar</t>
        </is>
      </c>
      <c r="G72" s="53" t="n"/>
      <c r="H72" s="53" t="n"/>
      <c r="I72" s="54" t="n"/>
      <c r="J72" s="54" t="n"/>
      <c r="K72" s="54" t="n"/>
      <c r="L72" s="54" t="n"/>
      <c r="M72" s="54" t="n"/>
      <c r="N72" s="54" t="n"/>
      <c r="O72" s="55">
        <f>IF(M72&lt;&gt;"",M72,IF(K72&lt;&gt;"",K72,IF(I72&lt;&gt;"",I72,"")))</f>
        <v/>
      </c>
      <c r="P72" s="55">
        <f>IF(O72="","",IF(O72="PENDIENTE","Pendiente",IF(O72="NO EJECUTABLE","No ejecutable",IF(O72="VERIFICAR","Por verificar",IF(AND(F72="No cumple",O72="CUMPLE"),"Mejora",IF(AND(F72="No cumple",O72="PARCIAL"),"Mejora parcial",IF(AND(OR(F72="Cumple",F72="Sin ejecutar"),OR(O72="NO CUMPLE",O72="PARCIAL")),IF(F72="Cumple","Regresión","Falla nueva"),IF(AND(F72="No cumple",O72="NO CUMPLE"),"Sigue fallando","Se mantiene"))))))))</f>
        <v/>
      </c>
    </row>
    <row r="73" ht="46.25" customHeight="1" s="29">
      <c r="A73" s="34" t="n">
        <v>60</v>
      </c>
      <c r="B73" s="34" t="n">
        <v>60</v>
      </c>
      <c r="C73" s="34" t="inlineStr">
        <is>
          <t>Agregar registro</t>
        </is>
      </c>
      <c r="D73" s="34" t="inlineStr">
        <is>
          <t>Validamos que se muestra la Matriz de información (Fecha, hora, productos, Turnos, Totales (personal y monto))
Validar el ID del Detalle del pedido</t>
        </is>
      </c>
      <c r="E73" s="34" t="n"/>
      <c r="F73" s="53" t="inlineStr">
        <is>
          <t>Sin ejecutar</t>
        </is>
      </c>
      <c r="G73" s="53" t="n"/>
      <c r="H73" s="53" t="n"/>
      <c r="I73" s="54" t="n"/>
      <c r="J73" s="54" t="n"/>
      <c r="K73" s="54" t="n"/>
      <c r="L73" s="54" t="n"/>
      <c r="M73" s="54" t="n"/>
      <c r="N73" s="54" t="n"/>
      <c r="O73" s="55">
        <f>IF(M73&lt;&gt;"",M73,IF(K73&lt;&gt;"",K73,IF(I73&lt;&gt;"",I73,"")))</f>
        <v/>
      </c>
      <c r="P73" s="55">
        <f>IF(O73="","",IF(O73="PENDIENTE","Pendiente",IF(O73="NO EJECUTABLE","No ejecutable",IF(O73="VERIFICAR","Por verificar",IF(AND(F73="No cumple",O73="CUMPLE"),"Mejora",IF(AND(F73="No cumple",O73="PARCIAL"),"Mejora parcial",IF(AND(OR(F73="Cumple",F73="Sin ejecutar"),OR(O73="NO CUMPLE",O73="PARCIAL")),IF(F73="Cumple","Regresión","Falla nueva"),IF(AND(F73="No cumple",O73="NO CUMPLE"),"Sigue fallando","Se mantiene"))))))))</f>
        <v/>
      </c>
    </row>
    <row r="74" ht="15" customHeight="1" s="29">
      <c r="A74" s="34" t="n">
        <v>61</v>
      </c>
      <c r="B74" s="34" t="n">
        <v>61</v>
      </c>
      <c r="C74" s="34" t="inlineStr">
        <is>
          <t>Seleccionar Producto Local Crew - MA</t>
        </is>
      </c>
      <c r="D74" s="34" t="n"/>
      <c r="E74" s="34" t="n"/>
      <c r="F74" s="53" t="inlineStr">
        <is>
          <t>Sin ejecutar</t>
        </is>
      </c>
      <c r="G74" s="53" t="n"/>
      <c r="H74" s="53" t="n"/>
      <c r="I74" s="54" t="n"/>
      <c r="J74" s="54" t="n"/>
      <c r="K74" s="54" t="n"/>
      <c r="L74" s="54" t="n"/>
      <c r="M74" s="54" t="n"/>
      <c r="N74" s="54" t="n"/>
      <c r="O74" s="55">
        <f>IF(M74&lt;&gt;"",M74,IF(K74&lt;&gt;"",K74,IF(I74&lt;&gt;"",I74,"")))</f>
        <v/>
      </c>
      <c r="P74" s="55">
        <f>IF(O74="","",IF(O74="PENDIENTE","Pendiente",IF(O74="NO EJECUTABLE","No ejecutable",IF(O74="VERIFICAR","Por verificar",IF(AND(F74="No cumple",O74="CUMPLE"),"Mejora",IF(AND(F74="No cumple",O74="PARCIAL"),"Mejora parcial",IF(AND(OR(F74="Cumple",F74="Sin ejecutar"),OR(O74="NO CUMPLE",O74="PARCIAL")),IF(F74="Cumple","Regresión","Falla nueva"),IF(AND(F74="No cumple",O74="NO CUMPLE"),"Sigue fallando","Se mantiene"))))))))</f>
        <v/>
      </c>
    </row>
    <row r="75" ht="23.85" customHeight="1" s="29">
      <c r="A75" s="34" t="n">
        <v>62</v>
      </c>
      <c r="B75" s="34" t="n">
        <v>62</v>
      </c>
      <c r="C75" s="34" t="inlineStr">
        <is>
          <t>Validar que el sistema muestra las horas por turno de ese producto</t>
        </is>
      </c>
      <c r="D75" s="34" t="inlineStr">
        <is>
          <t>Se muestra 1 turno por 8 horas</t>
        </is>
      </c>
      <c r="E75" s="34" t="n"/>
      <c r="F75" s="53" t="inlineStr">
        <is>
          <t>Sin ejecutar</t>
        </is>
      </c>
      <c r="G75" s="53" t="n"/>
      <c r="H75" s="53" t="n"/>
      <c r="I75" s="54" t="n"/>
      <c r="J75" s="54" t="n"/>
      <c r="K75" s="54" t="n"/>
      <c r="L75" s="54" t="n"/>
      <c r="M75" s="54" t="n"/>
      <c r="N75" s="54" t="n"/>
      <c r="O75" s="55">
        <f>IF(M75&lt;&gt;"",M75,IF(K75&lt;&gt;"",K75,IF(I75&lt;&gt;"",I75,"")))</f>
        <v/>
      </c>
      <c r="P75" s="55">
        <f>IF(O75="","",IF(O75="PENDIENTE","Pendiente",IF(O75="NO EJECUTABLE","No ejecutable",IF(O75="VERIFICAR","Por verificar",IF(AND(F75="No cumple",O75="CUMPLE"),"Mejora",IF(AND(F75="No cumple",O75="PARCIAL"),"Mejora parcial",IF(AND(OR(F75="Cumple",F75="Sin ejecutar"),OR(O75="NO CUMPLE",O75="PARCIAL")),IF(F75="Cumple","Regresión","Falla nueva"),IF(AND(F75="No cumple",O75="NO CUMPLE"),"Sigue fallando","Se mantiene"))))))))</f>
        <v/>
      </c>
    </row>
    <row r="76" ht="15" customHeight="1" s="29">
      <c r="A76" s="34" t="n">
        <v>63</v>
      </c>
      <c r="B76" s="34" t="n">
        <v>63</v>
      </c>
      <c r="C76" s="34" t="inlineStr">
        <is>
          <t>Poner Cantidad 100 y Turnos 1</t>
        </is>
      </c>
      <c r="D76" s="34" t="n"/>
      <c r="E76" s="34" t="n"/>
      <c r="F76" s="53" t="inlineStr">
        <is>
          <t>Sin ejecutar</t>
        </is>
      </c>
      <c r="G76" s="53" t="n"/>
      <c r="H76" s="53" t="n"/>
      <c r="I76" s="54" t="n"/>
      <c r="J76" s="54" t="n"/>
      <c r="K76" s="54" t="n"/>
      <c r="L76" s="54" t="n"/>
      <c r="M76" s="54" t="n"/>
      <c r="N76" s="54" t="n"/>
      <c r="O76" s="55">
        <f>IF(M76&lt;&gt;"",M76,IF(K76&lt;&gt;"",K76,IF(I76&lt;&gt;"",I76,"")))</f>
        <v/>
      </c>
      <c r="P76" s="55">
        <f>IF(O76="","",IF(O76="PENDIENTE","Pendiente",IF(O76="NO EJECUTABLE","No ejecutable",IF(O76="VERIFICAR","Por verificar",IF(AND(F76="No cumple",O76="CUMPLE"),"Mejora",IF(AND(F76="No cumple",O76="PARCIAL"),"Mejora parcial",IF(AND(OR(F76="Cumple",F76="Sin ejecutar"),OR(O76="NO CUMPLE",O76="PARCIAL")),IF(F76="Cumple","Regresión","Falla nueva"),IF(AND(F76="No cumple",O76="NO CUMPLE"),"Sigue fallando","Se mantiene"))))))))</f>
        <v/>
      </c>
    </row>
    <row r="77" ht="23.85" customHeight="1" s="29">
      <c r="A77" s="34" t="n">
        <v>64</v>
      </c>
      <c r="B77" s="34" t="n">
        <v>64</v>
      </c>
      <c r="C77" s="34" t="inlineStr">
        <is>
          <t>Seleccionar La misma fecha de cita que en el caso anterior</t>
        </is>
      </c>
      <c r="D77" s="34" t="n"/>
      <c r="E77" s="34" t="n"/>
      <c r="F77" s="53" t="inlineStr">
        <is>
          <t>Sin ejecutar</t>
        </is>
      </c>
      <c r="G77" s="53" t="n"/>
      <c r="H77" s="53" t="n"/>
      <c r="I77" s="54" t="n"/>
      <c r="J77" s="54" t="n"/>
      <c r="K77" s="54" t="n"/>
      <c r="L77" s="54" t="n"/>
      <c r="M77" s="54" t="n"/>
      <c r="N77" s="54" t="n"/>
      <c r="O77" s="55">
        <f>IF(M77&lt;&gt;"",M77,IF(K77&lt;&gt;"",K77,IF(I77&lt;&gt;"",I77,"")))</f>
        <v/>
      </c>
      <c r="P77" s="55">
        <f>IF(O77="","",IF(O77="PENDIENTE","Pendiente",IF(O77="NO EJECUTABLE","No ejecutable",IF(O77="VERIFICAR","Por verificar",IF(AND(F77="No cumple",O77="CUMPLE"),"Mejora",IF(AND(F77="No cumple",O77="PARCIAL"),"Mejora parcial",IF(AND(OR(F77="Cumple",F77="Sin ejecutar"),OR(O77="NO CUMPLE",O77="PARCIAL")),IF(F77="Cumple","Regresión","Falla nueva"),IF(AND(F77="No cumple",O77="NO CUMPLE"),"Sigue fallando","Se mantiene"))))))))</f>
        <v/>
      </c>
    </row>
    <row r="78" ht="35.05" customHeight="1" s="29">
      <c r="A78" s="34" t="n">
        <v>65</v>
      </c>
      <c r="B78" s="34" t="n">
        <v>65</v>
      </c>
      <c r="C78" s="34" t="inlineStr">
        <is>
          <t>Seleccionar una fecha de liberación posterior</t>
        </is>
      </c>
      <c r="D78" s="34" t="inlineStr">
        <is>
          <t>El sistema debe de mostrar una alerta por que no puede ser la fecha de liberación posterior a la fecha de cita</t>
        </is>
      </c>
      <c r="E78" s="34" t="n"/>
      <c r="F78" s="53" t="inlineStr">
        <is>
          <t>Sin ejecutar</t>
        </is>
      </c>
      <c r="G78" s="53" t="n"/>
      <c r="H78" s="53" t="n"/>
      <c r="I78" s="54" t="n"/>
      <c r="J78" s="54" t="n"/>
      <c r="K78" s="54" t="n"/>
      <c r="L78" s="54" t="n"/>
      <c r="M78" s="54" t="n"/>
      <c r="N78" s="54" t="n"/>
      <c r="O78" s="55">
        <f>IF(M78&lt;&gt;"",M78,IF(K78&lt;&gt;"",K78,IF(I78&lt;&gt;"",I78,"")))</f>
        <v/>
      </c>
      <c r="P78" s="55">
        <f>IF(O78="","",IF(O78="PENDIENTE","Pendiente",IF(O78="NO EJECUTABLE","No ejecutable",IF(O78="VERIFICAR","Por verificar",IF(AND(F78="No cumple",O78="CUMPLE"),"Mejora",IF(AND(F78="No cumple",O78="PARCIAL"),"Mejora parcial",IF(AND(OR(F78="Cumple",F78="Sin ejecutar"),OR(O78="NO CUMPLE",O78="PARCIAL")),IF(F78="Cumple","Regresión","Falla nueva"),IF(AND(F78="No cumple",O78="NO CUMPLE"),"Sigue fallando","Se mantiene"))))))))</f>
        <v/>
      </c>
    </row>
    <row r="79" ht="15" customHeight="1" s="29">
      <c r="A79" s="34" t="n">
        <v>66</v>
      </c>
      <c r="B79" s="34" t="n">
        <v>66</v>
      </c>
      <c r="C79" s="34" t="inlineStr">
        <is>
          <t>Seleccionar una fecha correcta de liberación</t>
        </is>
      </c>
      <c r="D79" s="34" t="n"/>
      <c r="E79" s="34" t="n"/>
      <c r="F79" s="53" t="inlineStr">
        <is>
          <t>Sin ejecutar</t>
        </is>
      </c>
      <c r="G79" s="53" t="n"/>
      <c r="H79" s="53" t="n"/>
      <c r="I79" s="54" t="n"/>
      <c r="J79" s="54" t="n"/>
      <c r="K79" s="54" t="n"/>
      <c r="L79" s="54" t="n"/>
      <c r="M79" s="54" t="n"/>
      <c r="N79" s="54" t="n"/>
      <c r="O79" s="55">
        <f>IF(M79&lt;&gt;"",M79,IF(K79&lt;&gt;"",K79,IF(I79&lt;&gt;"",I79,"")))</f>
        <v/>
      </c>
      <c r="P79" s="55">
        <f>IF(O79="","",IF(O79="PENDIENTE","Pendiente",IF(O79="NO EJECUTABLE","No ejecutable",IF(O79="VERIFICAR","Por verificar",IF(AND(F79="No cumple",O79="CUMPLE"),"Mejora",IF(AND(F79="No cumple",O79="PARCIAL"),"Mejora parcial",IF(AND(OR(F79="Cumple",F79="Sin ejecutar"),OR(O79="NO CUMPLE",O79="PARCIAL")),IF(F79="Cumple","Regresión","Falla nueva"),IF(AND(F79="No cumple",O79="NO CUMPLE"),"Sigue fallando","Se mantiene"))))))))</f>
        <v/>
      </c>
    </row>
    <row r="80" ht="23.85" customHeight="1" s="29">
      <c r="A80" s="34" t="n">
        <v>67</v>
      </c>
      <c r="B80" s="34" t="n">
        <v>67</v>
      </c>
      <c r="C80" s="34" t="inlineStr">
        <is>
          <t>En presentación por producto, validar que sólo muentren las de la unidad de negocio</t>
        </is>
      </c>
      <c r="D80" s="34" t="n"/>
      <c r="E80" s="34" t="n"/>
      <c r="F80" s="53" t="inlineStr">
        <is>
          <t>Sin ejecutar</t>
        </is>
      </c>
      <c r="G80" s="53" t="n"/>
      <c r="H80" s="53" t="n"/>
      <c r="I80" s="54" t="n"/>
      <c r="J80" s="54" t="n"/>
      <c r="K80" s="54" t="n"/>
      <c r="L80" s="54" t="n"/>
      <c r="M80" s="54" t="n"/>
      <c r="N80" s="54" t="n"/>
      <c r="O80" s="55">
        <f>IF(M80&lt;&gt;"",M80,IF(K80&lt;&gt;"",K80,IF(I80&lt;&gt;"",I80,"")))</f>
        <v/>
      </c>
      <c r="P80" s="55">
        <f>IF(O80="","",IF(O80="PENDIENTE","Pendiente",IF(O80="NO EJECUTABLE","No ejecutable",IF(O80="VERIFICAR","Por verificar",IF(AND(F80="No cumple",O80="CUMPLE"),"Mejora",IF(AND(F80="No cumple",O80="PARCIAL"),"Mejora parcial",IF(AND(OR(F80="Cumple",F80="Sin ejecutar"),OR(O80="NO CUMPLE",O80="PARCIAL")),IF(F80="Cumple","Regresión","Falla nueva"),IF(AND(F80="No cumple",O80="NO CUMPLE"),"Sigue fallando","Se mantiene"))))))))</f>
        <v/>
      </c>
    </row>
    <row r="81" ht="15" customHeight="1" s="29">
      <c r="A81" s="34" t="n">
        <v>68</v>
      </c>
      <c r="B81" s="34" t="n">
        <v>68</v>
      </c>
      <c r="C81" s="34" t="inlineStr">
        <is>
          <t>Completar con similares - Marcar NO</t>
        </is>
      </c>
      <c r="D81" s="34" t="n"/>
      <c r="E81" s="34" t="n"/>
      <c r="F81" s="53" t="inlineStr">
        <is>
          <t>Sin ejecutar</t>
        </is>
      </c>
      <c r="G81" s="53" t="n"/>
      <c r="H81" s="53" t="n"/>
      <c r="I81" s="54" t="n"/>
      <c r="J81" s="54" t="n"/>
      <c r="K81" s="54" t="n"/>
      <c r="L81" s="54" t="n"/>
      <c r="M81" s="54" t="n"/>
      <c r="N81" s="54" t="n"/>
      <c r="O81" s="55">
        <f>IF(M81&lt;&gt;"",M81,IF(K81&lt;&gt;"",K81,IF(I81&lt;&gt;"",I81,"")))</f>
        <v/>
      </c>
      <c r="P81" s="55">
        <f>IF(O81="","",IF(O81="PENDIENTE","Pendiente",IF(O81="NO EJECUTABLE","No ejecutable",IF(O81="VERIFICAR","Por verificar",IF(AND(F81="No cumple",O81="CUMPLE"),"Mejora",IF(AND(F81="No cumple",O81="PARCIAL"),"Mejora parcial",IF(AND(OR(F81="Cumple",F81="Sin ejecutar"),OR(O81="NO CUMPLE",O81="PARCIAL")),IF(F81="Cumple","Regresión","Falla nueva"),IF(AND(F81="No cumple",O81="NO CUMPLE"),"Sigue fallando","Se mantiene"))))))))</f>
        <v/>
      </c>
    </row>
    <row r="82" ht="46.25" customHeight="1" s="29">
      <c r="A82" s="34" t="n">
        <v>69</v>
      </c>
      <c r="B82" s="34" t="n">
        <v>69</v>
      </c>
      <c r="C82" s="34" t="inlineStr">
        <is>
          <t>Agregar registro</t>
        </is>
      </c>
      <c r="D82" s="34" t="inlineStr">
        <is>
          <t>Validamos que se muestra la Matriz de información (Fecha, hora, productos, Turnos, Totales (personal y monto))
Validar el ID del Detalle del pedido</t>
        </is>
      </c>
      <c r="E82" s="34" t="n"/>
      <c r="F82" s="53" t="inlineStr">
        <is>
          <t>Sin ejecutar</t>
        </is>
      </c>
      <c r="G82" s="53" t="n"/>
      <c r="H82" s="53" t="n"/>
      <c r="I82" s="54" t="n"/>
      <c r="J82" s="54" t="n"/>
      <c r="K82" s="54" t="n"/>
      <c r="L82" s="54" t="n"/>
      <c r="M82" s="54" t="n"/>
      <c r="N82" s="54" t="n"/>
      <c r="O82" s="55">
        <f>IF(M82&lt;&gt;"",M82,IF(K82&lt;&gt;"",K82,IF(I82&lt;&gt;"",I82,"")))</f>
        <v/>
      </c>
      <c r="P82" s="55">
        <f>IF(O82="","",IF(O82="PENDIENTE","Pendiente",IF(O82="NO EJECUTABLE","No ejecutable",IF(O82="VERIFICAR","Por verificar",IF(AND(F82="No cumple",O82="CUMPLE"),"Mejora",IF(AND(F82="No cumple",O82="PARCIAL"),"Mejora parcial",IF(AND(OR(F82="Cumple",F82="Sin ejecutar"),OR(O82="NO CUMPLE",O82="PARCIAL")),IF(F82="Cumple","Regresión","Falla nueva"),IF(AND(F82="No cumple",O82="NO CUMPLE"),"Sigue fallando","Se mantiene"))))))))</f>
        <v/>
      </c>
    </row>
    <row r="83" ht="15" customHeight="1" s="29">
      <c r="A83" s="34" t="n">
        <v>70</v>
      </c>
      <c r="B83" s="34" t="n">
        <v>70</v>
      </c>
      <c r="C83" s="34" t="inlineStr">
        <is>
          <t>Seleccionar Producto Seguridad - FE</t>
        </is>
      </c>
      <c r="D83" s="34" t="n"/>
      <c r="E83" s="34" t="n"/>
      <c r="F83" s="53" t="inlineStr">
        <is>
          <t>Sin ejecutar</t>
        </is>
      </c>
      <c r="G83" s="53" t="n"/>
      <c r="H83" s="53" t="n"/>
      <c r="I83" s="54" t="n"/>
      <c r="J83" s="54" t="n"/>
      <c r="K83" s="54" t="n"/>
      <c r="L83" s="54" t="n"/>
      <c r="M83" s="54" t="n"/>
      <c r="N83" s="54" t="n"/>
      <c r="O83" s="55">
        <f>IF(M83&lt;&gt;"",M83,IF(K83&lt;&gt;"",K83,IF(I83&lt;&gt;"",I83,"")))</f>
        <v/>
      </c>
      <c r="P83" s="55">
        <f>IF(O83="","",IF(O83="PENDIENTE","Pendiente",IF(O83="NO EJECUTABLE","No ejecutable",IF(O83="VERIFICAR","Por verificar",IF(AND(F83="No cumple",O83="CUMPLE"),"Mejora",IF(AND(F83="No cumple",O83="PARCIAL"),"Mejora parcial",IF(AND(OR(F83="Cumple",F83="Sin ejecutar"),OR(O83="NO CUMPLE",O83="PARCIAL")),IF(F83="Cumple","Regresión","Falla nueva"),IF(AND(F83="No cumple",O83="NO CUMPLE"),"Sigue fallando","Se mantiene"))))))))</f>
        <v/>
      </c>
    </row>
    <row r="84" ht="23.85" customHeight="1" s="29">
      <c r="A84" s="34" t="n">
        <v>71</v>
      </c>
      <c r="B84" s="34" t="n">
        <v>71</v>
      </c>
      <c r="C84" s="34" t="inlineStr">
        <is>
          <t>Validar que el sistema muestra las horas por turno de ese producto</t>
        </is>
      </c>
      <c r="D84" s="34" t="inlineStr">
        <is>
          <t>Se muestra 1 turno por 8 horas</t>
        </is>
      </c>
      <c r="E84" s="34" t="n"/>
      <c r="F84" s="53" t="inlineStr">
        <is>
          <t>Sin ejecutar</t>
        </is>
      </c>
      <c r="G84" s="53" t="n"/>
      <c r="H84" s="53" t="n"/>
      <c r="I84" s="54" t="n"/>
      <c r="J84" s="54" t="n"/>
      <c r="K84" s="54" t="n"/>
      <c r="L84" s="54" t="n"/>
      <c r="M84" s="54" t="n"/>
      <c r="N84" s="54" t="n"/>
      <c r="O84" s="55">
        <f>IF(M84&lt;&gt;"",M84,IF(K84&lt;&gt;"",K84,IF(I84&lt;&gt;"",I84,"")))</f>
        <v/>
      </c>
      <c r="P84" s="55">
        <f>IF(O84="","",IF(O84="PENDIENTE","Pendiente",IF(O84="NO EJECUTABLE","No ejecutable",IF(O84="VERIFICAR","Por verificar",IF(AND(F84="No cumple",O84="CUMPLE"),"Mejora",IF(AND(F84="No cumple",O84="PARCIAL"),"Mejora parcial",IF(AND(OR(F84="Cumple",F84="Sin ejecutar"),OR(O84="NO CUMPLE",O84="PARCIAL")),IF(F84="Cumple","Regresión","Falla nueva"),IF(AND(F84="No cumple",O84="NO CUMPLE"),"Sigue fallando","Se mantiene"))))))))</f>
        <v/>
      </c>
    </row>
    <row r="85" ht="15" customHeight="1" s="29">
      <c r="A85" s="34" t="n">
        <v>72</v>
      </c>
      <c r="B85" s="34" t="n">
        <v>72</v>
      </c>
      <c r="C85" s="34" t="inlineStr">
        <is>
          <t>Poner Cantidad 50 y Turnos 1</t>
        </is>
      </c>
      <c r="D85" s="34" t="n"/>
      <c r="E85" s="34" t="n"/>
      <c r="F85" s="53" t="inlineStr">
        <is>
          <t>Sin ejecutar</t>
        </is>
      </c>
      <c r="G85" s="53" t="n"/>
      <c r="H85" s="53" t="n"/>
      <c r="I85" s="54" t="n"/>
      <c r="J85" s="54" t="n"/>
      <c r="K85" s="54" t="n"/>
      <c r="L85" s="54" t="n"/>
      <c r="M85" s="54" t="n"/>
      <c r="N85" s="54" t="n"/>
      <c r="O85" s="55">
        <f>IF(M85&lt;&gt;"",M85,IF(K85&lt;&gt;"",K85,IF(I85&lt;&gt;"",I85,"")))</f>
        <v/>
      </c>
      <c r="P85" s="55">
        <f>IF(O85="","",IF(O85="PENDIENTE","Pendiente",IF(O85="NO EJECUTABLE","No ejecutable",IF(O85="VERIFICAR","Por verificar",IF(AND(F85="No cumple",O85="CUMPLE"),"Mejora",IF(AND(F85="No cumple",O85="PARCIAL"),"Mejora parcial",IF(AND(OR(F85="Cumple",F85="Sin ejecutar"),OR(O85="NO CUMPLE",O85="PARCIAL")),IF(F85="Cumple","Regresión","Falla nueva"),IF(AND(F85="No cumple",O85="NO CUMPLE"),"Sigue fallando","Se mantiene"))))))))</f>
        <v/>
      </c>
    </row>
    <row r="86" ht="23.85" customHeight="1" s="29">
      <c r="A86" s="34" t="n">
        <v>73</v>
      </c>
      <c r="B86" s="34" t="n">
        <v>73</v>
      </c>
      <c r="C86" s="34" t="inlineStr">
        <is>
          <t>Seleccionar La misma fecha de cita que en el caso anterior</t>
        </is>
      </c>
      <c r="D86" s="34" t="n"/>
      <c r="E86" s="34" t="n"/>
      <c r="F86" s="53" t="inlineStr">
        <is>
          <t>Sin ejecutar</t>
        </is>
      </c>
      <c r="G86" s="53" t="n"/>
      <c r="H86" s="53" t="n"/>
      <c r="I86" s="54" t="n"/>
      <c r="J86" s="54" t="n"/>
      <c r="K86" s="54" t="n"/>
      <c r="L86" s="54" t="n"/>
      <c r="M86" s="54" t="n"/>
      <c r="N86" s="54" t="n"/>
      <c r="O86" s="55">
        <f>IF(M86&lt;&gt;"",M86,IF(K86&lt;&gt;"",K86,IF(I86&lt;&gt;"",I86,"")))</f>
        <v/>
      </c>
      <c r="P86" s="55">
        <f>IF(O86="","",IF(O86="PENDIENTE","Pendiente",IF(O86="NO EJECUTABLE","No ejecutable",IF(O86="VERIFICAR","Por verificar",IF(AND(F86="No cumple",O86="CUMPLE"),"Mejora",IF(AND(F86="No cumple",O86="PARCIAL"),"Mejora parcial",IF(AND(OR(F86="Cumple",F86="Sin ejecutar"),OR(O86="NO CUMPLE",O86="PARCIAL")),IF(F86="Cumple","Regresión","Falla nueva"),IF(AND(F86="No cumple",O86="NO CUMPLE"),"Sigue fallando","Se mantiene"))))))))</f>
        <v/>
      </c>
    </row>
    <row r="87" ht="35.05" customHeight="1" s="29">
      <c r="A87" s="34" t="n">
        <v>74</v>
      </c>
      <c r="B87" s="34" t="n">
        <v>74</v>
      </c>
      <c r="C87" s="34" t="inlineStr">
        <is>
          <t>Seleccionar una fecha de liberación posterior</t>
        </is>
      </c>
      <c r="D87" s="34" t="inlineStr">
        <is>
          <t>El sistema debe de mostrar una alerta por que no puede ser la fecha de liberación posterior a la fecha de cita</t>
        </is>
      </c>
      <c r="E87" s="34" t="n"/>
      <c r="F87" s="53" t="inlineStr">
        <is>
          <t>Sin ejecutar</t>
        </is>
      </c>
      <c r="G87" s="53" t="n"/>
      <c r="H87" s="53" t="n"/>
      <c r="I87" s="54" t="n"/>
      <c r="J87" s="54" t="n"/>
      <c r="K87" s="54" t="n"/>
      <c r="L87" s="54" t="n"/>
      <c r="M87" s="54" t="n"/>
      <c r="N87" s="54" t="n"/>
      <c r="O87" s="55">
        <f>IF(M87&lt;&gt;"",M87,IF(K87&lt;&gt;"",K87,IF(I87&lt;&gt;"",I87,"")))</f>
        <v/>
      </c>
      <c r="P87" s="55">
        <f>IF(O87="","",IF(O87="PENDIENTE","Pendiente",IF(O87="NO EJECUTABLE","No ejecutable",IF(O87="VERIFICAR","Por verificar",IF(AND(F87="No cumple",O87="CUMPLE"),"Mejora",IF(AND(F87="No cumple",O87="PARCIAL"),"Mejora parcial",IF(AND(OR(F87="Cumple",F87="Sin ejecutar"),OR(O87="NO CUMPLE",O87="PARCIAL")),IF(F87="Cumple","Regresión","Falla nueva"),IF(AND(F87="No cumple",O87="NO CUMPLE"),"Sigue fallando","Se mantiene"))))))))</f>
        <v/>
      </c>
    </row>
    <row r="88" ht="15" customHeight="1" s="29">
      <c r="A88" s="34" t="n">
        <v>75</v>
      </c>
      <c r="B88" s="34" t="n">
        <v>75</v>
      </c>
      <c r="C88" s="34" t="inlineStr">
        <is>
          <t>Seleccionar una fecha correcta de liberación</t>
        </is>
      </c>
      <c r="D88" s="34" t="n"/>
      <c r="E88" s="34" t="n"/>
      <c r="F88" s="53" t="inlineStr">
        <is>
          <t>Sin ejecutar</t>
        </is>
      </c>
      <c r="G88" s="53" t="n"/>
      <c r="H88" s="53" t="n"/>
      <c r="I88" s="54" t="n"/>
      <c r="J88" s="54" t="n"/>
      <c r="K88" s="54" t="n"/>
      <c r="L88" s="54" t="n"/>
      <c r="M88" s="54" t="n"/>
      <c r="N88" s="54" t="n"/>
      <c r="O88" s="55">
        <f>IF(M88&lt;&gt;"",M88,IF(K88&lt;&gt;"",K88,IF(I88&lt;&gt;"",I88,"")))</f>
        <v/>
      </c>
      <c r="P88" s="55">
        <f>IF(O88="","",IF(O88="PENDIENTE","Pendiente",IF(O88="NO EJECUTABLE","No ejecutable",IF(O88="VERIFICAR","Por verificar",IF(AND(F88="No cumple",O88="CUMPLE"),"Mejora",IF(AND(F88="No cumple",O88="PARCIAL"),"Mejora parcial",IF(AND(OR(F88="Cumple",F88="Sin ejecutar"),OR(O88="NO CUMPLE",O88="PARCIAL")),IF(F88="Cumple","Regresión","Falla nueva"),IF(AND(F88="No cumple",O88="NO CUMPLE"),"Sigue fallando","Se mantiene"))))))))</f>
        <v/>
      </c>
    </row>
    <row r="89" ht="23.85" customHeight="1" s="29">
      <c r="A89" s="34" t="n">
        <v>76</v>
      </c>
      <c r="B89" s="34" t="n">
        <v>76</v>
      </c>
      <c r="C89" s="34" t="inlineStr">
        <is>
          <t>En presentación por producto, validar que sólo muentren las de la unidad de negocio</t>
        </is>
      </c>
      <c r="D89" s="34" t="n"/>
      <c r="E89" s="34" t="n"/>
      <c r="F89" s="53" t="inlineStr">
        <is>
          <t>Sin ejecutar</t>
        </is>
      </c>
      <c r="G89" s="53" t="n"/>
      <c r="H89" s="53" t="n"/>
      <c r="I89" s="54" t="n"/>
      <c r="J89" s="54" t="n"/>
      <c r="K89" s="54" t="n"/>
      <c r="L89" s="54" t="n"/>
      <c r="M89" s="54" t="n"/>
      <c r="N89" s="54" t="n"/>
      <c r="O89" s="55">
        <f>IF(M89&lt;&gt;"",M89,IF(K89&lt;&gt;"",K89,IF(I89&lt;&gt;"",I89,"")))</f>
        <v/>
      </c>
      <c r="P89" s="55">
        <f>IF(O89="","",IF(O89="PENDIENTE","Pendiente",IF(O89="NO EJECUTABLE","No ejecutable",IF(O89="VERIFICAR","Por verificar",IF(AND(F89="No cumple",O89="CUMPLE"),"Mejora",IF(AND(F89="No cumple",O89="PARCIAL"),"Mejora parcial",IF(AND(OR(F89="Cumple",F89="Sin ejecutar"),OR(O89="NO CUMPLE",O89="PARCIAL")),IF(F89="Cumple","Regresión","Falla nueva"),IF(AND(F89="No cumple",O89="NO CUMPLE"),"Sigue fallando","Se mantiene"))))))))</f>
        <v/>
      </c>
    </row>
    <row r="90" ht="15" customHeight="1" s="29">
      <c r="A90" s="34" t="n">
        <v>77</v>
      </c>
      <c r="B90" s="34" t="n">
        <v>77</v>
      </c>
      <c r="C90" s="34" t="inlineStr">
        <is>
          <t>Completar con similares - Marcar NO</t>
        </is>
      </c>
      <c r="D90" s="34" t="n"/>
      <c r="E90" s="34" t="n"/>
      <c r="F90" s="53" t="inlineStr">
        <is>
          <t>Sin ejecutar</t>
        </is>
      </c>
      <c r="G90" s="53" t="n"/>
      <c r="H90" s="53" t="n"/>
      <c r="I90" s="54" t="n"/>
      <c r="J90" s="54" t="n"/>
      <c r="K90" s="54" t="n"/>
      <c r="L90" s="54" t="n"/>
      <c r="M90" s="54" t="n"/>
      <c r="N90" s="54" t="n"/>
      <c r="O90" s="55">
        <f>IF(M90&lt;&gt;"",M90,IF(K90&lt;&gt;"",K90,IF(I90&lt;&gt;"",I90,"")))</f>
        <v/>
      </c>
      <c r="P90" s="55">
        <f>IF(O90="","",IF(O90="PENDIENTE","Pendiente",IF(O90="NO EJECUTABLE","No ejecutable",IF(O90="VERIFICAR","Por verificar",IF(AND(F90="No cumple",O90="CUMPLE"),"Mejora",IF(AND(F90="No cumple",O90="PARCIAL"),"Mejora parcial",IF(AND(OR(F90="Cumple",F90="Sin ejecutar"),OR(O90="NO CUMPLE",O90="PARCIAL")),IF(F90="Cumple","Regresión","Falla nueva"),IF(AND(F90="No cumple",O90="NO CUMPLE"),"Sigue fallando","Se mantiene"))))))))</f>
        <v/>
      </c>
    </row>
    <row r="91" ht="46.25" customHeight="1" s="29">
      <c r="A91" s="34" t="n">
        <v>78</v>
      </c>
      <c r="B91" s="34" t="n">
        <v>78</v>
      </c>
      <c r="C91" s="34" t="inlineStr">
        <is>
          <t>Agregar registro</t>
        </is>
      </c>
      <c r="D91" s="34" t="inlineStr">
        <is>
          <t>Validamos que se muestra la Matriz de información (Fecha, hora, productos, Turnos, Totales (personal y monto))
Validar el ID del Detalle del pedido</t>
        </is>
      </c>
      <c r="E91" s="34" t="n"/>
      <c r="F91" s="53" t="inlineStr">
        <is>
          <t>Sin ejecutar</t>
        </is>
      </c>
      <c r="G91" s="53" t="n"/>
      <c r="H91" s="53" t="n"/>
      <c r="I91" s="54" t="n"/>
      <c r="J91" s="54" t="n"/>
      <c r="K91" s="54" t="n"/>
      <c r="L91" s="54" t="n"/>
      <c r="M91" s="54" t="n"/>
      <c r="N91" s="54" t="n"/>
      <c r="O91" s="55">
        <f>IF(M91&lt;&gt;"",M91,IF(K91&lt;&gt;"",K91,IF(I91&lt;&gt;"",I91,"")))</f>
        <v/>
      </c>
      <c r="P91" s="55">
        <f>IF(O91="","",IF(O91="PENDIENTE","Pendiente",IF(O91="NO EJECUTABLE","No ejecutable",IF(O91="VERIFICAR","Por verificar",IF(AND(F91="No cumple",O91="CUMPLE"),"Mejora",IF(AND(F91="No cumple",O91="PARCIAL"),"Mejora parcial",IF(AND(OR(F91="Cumple",F91="Sin ejecutar"),OR(O91="NO CUMPLE",O91="PARCIAL")),IF(F91="Cumple","Regresión","Falla nueva"),IF(AND(F91="No cumple",O91="NO CUMPLE"),"Sigue fallando","Se mantiene"))))))))</f>
        <v/>
      </c>
    </row>
    <row r="92" ht="15" customHeight="1" s="29">
      <c r="A92" s="34" t="n">
        <v>79</v>
      </c>
      <c r="B92" s="34" t="n">
        <v>79</v>
      </c>
      <c r="C92" s="34" t="inlineStr">
        <is>
          <t>Seleccionar Producto Seguridad - MA</t>
        </is>
      </c>
      <c r="D92" s="34" t="n"/>
      <c r="E92" s="34" t="n"/>
      <c r="F92" s="53" t="inlineStr">
        <is>
          <t>Sin ejecutar</t>
        </is>
      </c>
      <c r="G92" s="53" t="n"/>
      <c r="H92" s="53" t="n"/>
      <c r="I92" s="54" t="n"/>
      <c r="J92" s="54" t="n"/>
      <c r="K92" s="54" t="n"/>
      <c r="L92" s="54" t="n"/>
      <c r="M92" s="54" t="n"/>
      <c r="N92" s="54" t="n"/>
      <c r="O92" s="55">
        <f>IF(M92&lt;&gt;"",M92,IF(K92&lt;&gt;"",K92,IF(I92&lt;&gt;"",I92,"")))</f>
        <v/>
      </c>
      <c r="P92" s="55">
        <f>IF(O92="","",IF(O92="PENDIENTE","Pendiente",IF(O92="NO EJECUTABLE","No ejecutable",IF(O92="VERIFICAR","Por verificar",IF(AND(F92="No cumple",O92="CUMPLE"),"Mejora",IF(AND(F92="No cumple",O92="PARCIAL"),"Mejora parcial",IF(AND(OR(F92="Cumple",F92="Sin ejecutar"),OR(O92="NO CUMPLE",O92="PARCIAL")),IF(F92="Cumple","Regresión","Falla nueva"),IF(AND(F92="No cumple",O92="NO CUMPLE"),"Sigue fallando","Se mantiene"))))))))</f>
        <v/>
      </c>
    </row>
    <row r="93" ht="23.85" customHeight="1" s="29">
      <c r="A93" s="34" t="n">
        <v>80</v>
      </c>
      <c r="B93" s="34" t="n">
        <v>80</v>
      </c>
      <c r="C93" s="34" t="inlineStr">
        <is>
          <t>Validar que el sistema muestra las horas por turno de ese producto</t>
        </is>
      </c>
      <c r="D93" s="34" t="inlineStr">
        <is>
          <t>Se muestra 1 turno por 8 horas</t>
        </is>
      </c>
      <c r="E93" s="34" t="n"/>
      <c r="F93" s="53" t="inlineStr">
        <is>
          <t>Sin ejecutar</t>
        </is>
      </c>
      <c r="G93" s="53" t="n"/>
      <c r="H93" s="53" t="n"/>
      <c r="I93" s="54" t="n"/>
      <c r="J93" s="54" t="n"/>
      <c r="K93" s="54" t="n"/>
      <c r="L93" s="54" t="n"/>
      <c r="M93" s="54" t="n"/>
      <c r="N93" s="54" t="n"/>
      <c r="O93" s="55">
        <f>IF(M93&lt;&gt;"",M93,IF(K93&lt;&gt;"",K93,IF(I93&lt;&gt;"",I93,"")))</f>
        <v/>
      </c>
      <c r="P93" s="55">
        <f>IF(O93="","",IF(O93="PENDIENTE","Pendiente",IF(O93="NO EJECUTABLE","No ejecutable",IF(O93="VERIFICAR","Por verificar",IF(AND(F93="No cumple",O93="CUMPLE"),"Mejora",IF(AND(F93="No cumple",O93="PARCIAL"),"Mejora parcial",IF(AND(OR(F93="Cumple",F93="Sin ejecutar"),OR(O93="NO CUMPLE",O93="PARCIAL")),IF(F93="Cumple","Regresión","Falla nueva"),IF(AND(F93="No cumple",O93="NO CUMPLE"),"Sigue fallando","Se mantiene"))))))))</f>
        <v/>
      </c>
    </row>
    <row r="94" ht="15" customHeight="1" s="29">
      <c r="A94" s="34" t="n">
        <v>81</v>
      </c>
      <c r="B94" s="34" t="n">
        <v>81</v>
      </c>
      <c r="C94" s="34" t="inlineStr">
        <is>
          <t>Poner Cantidad 70 y Turnos 1</t>
        </is>
      </c>
      <c r="D94" s="34" t="n"/>
      <c r="E94" s="34" t="n"/>
      <c r="F94" s="53" t="inlineStr">
        <is>
          <t>Sin ejecutar</t>
        </is>
      </c>
      <c r="G94" s="53" t="n"/>
      <c r="H94" s="53" t="n"/>
      <c r="I94" s="54" t="n"/>
      <c r="J94" s="54" t="n"/>
      <c r="K94" s="54" t="n"/>
      <c r="L94" s="54" t="n"/>
      <c r="M94" s="54" t="n"/>
      <c r="N94" s="54" t="n"/>
      <c r="O94" s="55">
        <f>IF(M94&lt;&gt;"",M94,IF(K94&lt;&gt;"",K94,IF(I94&lt;&gt;"",I94,"")))</f>
        <v/>
      </c>
      <c r="P94" s="55">
        <f>IF(O94="","",IF(O94="PENDIENTE","Pendiente",IF(O94="NO EJECUTABLE","No ejecutable",IF(O94="VERIFICAR","Por verificar",IF(AND(F94="No cumple",O94="CUMPLE"),"Mejora",IF(AND(F94="No cumple",O94="PARCIAL"),"Mejora parcial",IF(AND(OR(F94="Cumple",F94="Sin ejecutar"),OR(O94="NO CUMPLE",O94="PARCIAL")),IF(F94="Cumple","Regresión","Falla nueva"),IF(AND(F94="No cumple",O94="NO CUMPLE"),"Sigue fallando","Se mantiene"))))))))</f>
        <v/>
      </c>
    </row>
    <row r="95" ht="23.85" customHeight="1" s="29">
      <c r="A95" s="34" t="n">
        <v>82</v>
      </c>
      <c r="B95" s="34" t="n">
        <v>82</v>
      </c>
      <c r="C95" s="34" t="inlineStr">
        <is>
          <t>Seleccionar La misma fecha de cita que en el caso anterior</t>
        </is>
      </c>
      <c r="D95" s="34" t="n"/>
      <c r="E95" s="34" t="n"/>
      <c r="F95" s="53" t="inlineStr">
        <is>
          <t>Sin ejecutar</t>
        </is>
      </c>
      <c r="G95" s="53" t="n"/>
      <c r="H95" s="53" t="n"/>
      <c r="I95" s="54" t="n"/>
      <c r="J95" s="54" t="n"/>
      <c r="K95" s="54" t="n"/>
      <c r="L95" s="54" t="n"/>
      <c r="M95" s="54" t="n"/>
      <c r="N95" s="54" t="n"/>
      <c r="O95" s="55">
        <f>IF(M95&lt;&gt;"",M95,IF(K95&lt;&gt;"",K95,IF(I95&lt;&gt;"",I95,"")))</f>
        <v/>
      </c>
      <c r="P95" s="55">
        <f>IF(O95="","",IF(O95="PENDIENTE","Pendiente",IF(O95="NO EJECUTABLE","No ejecutable",IF(O95="VERIFICAR","Por verificar",IF(AND(F95="No cumple",O95="CUMPLE"),"Mejora",IF(AND(F95="No cumple",O95="PARCIAL"),"Mejora parcial",IF(AND(OR(F95="Cumple",F95="Sin ejecutar"),OR(O95="NO CUMPLE",O95="PARCIAL")),IF(F95="Cumple","Regresión","Falla nueva"),IF(AND(F95="No cumple",O95="NO CUMPLE"),"Sigue fallando","Se mantiene"))))))))</f>
        <v/>
      </c>
    </row>
    <row r="96" ht="35.05" customHeight="1" s="29">
      <c r="A96" s="34" t="n">
        <v>83</v>
      </c>
      <c r="B96" s="34" t="n">
        <v>83</v>
      </c>
      <c r="C96" s="34" t="inlineStr">
        <is>
          <t>Seleccionar una fecha de liberación posterior</t>
        </is>
      </c>
      <c r="D96" s="34" t="inlineStr">
        <is>
          <t>El sistema debe de mostrar una alerta por que no puede ser la fecha de liberación posterior a la fecha de cita</t>
        </is>
      </c>
      <c r="E96" s="34" t="n"/>
      <c r="F96" s="53" t="inlineStr">
        <is>
          <t>Sin ejecutar</t>
        </is>
      </c>
      <c r="G96" s="53" t="n"/>
      <c r="H96" s="53" t="n"/>
      <c r="I96" s="54" t="n"/>
      <c r="J96" s="54" t="n"/>
      <c r="K96" s="54" t="n"/>
      <c r="L96" s="54" t="n"/>
      <c r="M96" s="54" t="n"/>
      <c r="N96" s="54" t="n"/>
      <c r="O96" s="55">
        <f>IF(M96&lt;&gt;"",M96,IF(K96&lt;&gt;"",K96,IF(I96&lt;&gt;"",I96,"")))</f>
        <v/>
      </c>
      <c r="P96" s="55">
        <f>IF(O96="","",IF(O96="PENDIENTE","Pendiente",IF(O96="NO EJECUTABLE","No ejecutable",IF(O96="VERIFICAR","Por verificar",IF(AND(F96="No cumple",O96="CUMPLE"),"Mejora",IF(AND(F96="No cumple",O96="PARCIAL"),"Mejora parcial",IF(AND(OR(F96="Cumple",F96="Sin ejecutar"),OR(O96="NO CUMPLE",O96="PARCIAL")),IF(F96="Cumple","Regresión","Falla nueva"),IF(AND(F96="No cumple",O96="NO CUMPLE"),"Sigue fallando","Se mantiene"))))))))</f>
        <v/>
      </c>
    </row>
    <row r="97" ht="15" customHeight="1" s="29">
      <c r="A97" s="34" t="n">
        <v>84</v>
      </c>
      <c r="B97" s="34" t="n">
        <v>84</v>
      </c>
      <c r="C97" s="34" t="inlineStr">
        <is>
          <t>Seleccionar una fecha correcta de liberación</t>
        </is>
      </c>
      <c r="D97" s="34" t="n"/>
      <c r="E97" s="34" t="n"/>
      <c r="F97" s="53" t="inlineStr">
        <is>
          <t>Sin ejecutar</t>
        </is>
      </c>
      <c r="G97" s="53" t="n"/>
      <c r="H97" s="53" t="n"/>
      <c r="I97" s="54" t="n"/>
      <c r="J97" s="54" t="n"/>
      <c r="K97" s="54" t="n"/>
      <c r="L97" s="54" t="n"/>
      <c r="M97" s="54" t="n"/>
      <c r="N97" s="54" t="n"/>
      <c r="O97" s="55">
        <f>IF(M97&lt;&gt;"",M97,IF(K97&lt;&gt;"",K97,IF(I97&lt;&gt;"",I97,"")))</f>
        <v/>
      </c>
      <c r="P97" s="55">
        <f>IF(O97="","",IF(O97="PENDIENTE","Pendiente",IF(O97="NO EJECUTABLE","No ejecutable",IF(O97="VERIFICAR","Por verificar",IF(AND(F97="No cumple",O97="CUMPLE"),"Mejora",IF(AND(F97="No cumple",O97="PARCIAL"),"Mejora parcial",IF(AND(OR(F97="Cumple",F97="Sin ejecutar"),OR(O97="NO CUMPLE",O97="PARCIAL")),IF(F97="Cumple","Regresión","Falla nueva"),IF(AND(F97="No cumple",O97="NO CUMPLE"),"Sigue fallando","Se mantiene"))))))))</f>
        <v/>
      </c>
    </row>
    <row r="98" ht="23.85" customHeight="1" s="29">
      <c r="A98" s="34" t="n">
        <v>85</v>
      </c>
      <c r="B98" s="34" t="n">
        <v>85</v>
      </c>
      <c r="C98" s="34" t="inlineStr">
        <is>
          <t>En presentación por producto, validar que sólo muentren las de la unidad de negocio</t>
        </is>
      </c>
      <c r="D98" s="34" t="n"/>
      <c r="E98" s="34" t="n"/>
      <c r="F98" s="53" t="inlineStr">
        <is>
          <t>Sin ejecutar</t>
        </is>
      </c>
      <c r="G98" s="53" t="n"/>
      <c r="H98" s="53" t="n"/>
      <c r="I98" s="54" t="n"/>
      <c r="J98" s="54" t="n"/>
      <c r="K98" s="54" t="n"/>
      <c r="L98" s="54" t="n"/>
      <c r="M98" s="54" t="n"/>
      <c r="N98" s="54" t="n"/>
      <c r="O98" s="55">
        <f>IF(M98&lt;&gt;"",M98,IF(K98&lt;&gt;"",K98,IF(I98&lt;&gt;"",I98,"")))</f>
        <v/>
      </c>
      <c r="P98" s="55">
        <f>IF(O98="","",IF(O98="PENDIENTE","Pendiente",IF(O98="NO EJECUTABLE","No ejecutable",IF(O98="VERIFICAR","Por verificar",IF(AND(F98="No cumple",O98="CUMPLE"),"Mejora",IF(AND(F98="No cumple",O98="PARCIAL"),"Mejora parcial",IF(AND(OR(F98="Cumple",F98="Sin ejecutar"),OR(O98="NO CUMPLE",O98="PARCIAL")),IF(F98="Cumple","Regresión","Falla nueva"),IF(AND(F98="No cumple",O98="NO CUMPLE"),"Sigue fallando","Se mantiene"))))))))</f>
        <v/>
      </c>
    </row>
    <row r="99" ht="15" customHeight="1" s="29">
      <c r="A99" s="34" t="n">
        <v>86</v>
      </c>
      <c r="B99" s="34" t="n">
        <v>86</v>
      </c>
      <c r="C99" s="34" t="inlineStr">
        <is>
          <t>Completar con similares - Marcar NO</t>
        </is>
      </c>
      <c r="D99" s="34" t="n"/>
      <c r="E99" s="34" t="n"/>
      <c r="F99" s="53" t="inlineStr">
        <is>
          <t>Sin ejecutar</t>
        </is>
      </c>
      <c r="G99" s="53" t="n"/>
      <c r="H99" s="53" t="n"/>
      <c r="I99" s="54" t="n"/>
      <c r="J99" s="54" t="n"/>
      <c r="K99" s="54" t="n"/>
      <c r="L99" s="54" t="n"/>
      <c r="M99" s="54" t="n"/>
      <c r="N99" s="54" t="n"/>
      <c r="O99" s="55">
        <f>IF(M99&lt;&gt;"",M99,IF(K99&lt;&gt;"",K99,IF(I99&lt;&gt;"",I99,"")))</f>
        <v/>
      </c>
      <c r="P99" s="55">
        <f>IF(O99="","",IF(O99="PENDIENTE","Pendiente",IF(O99="NO EJECUTABLE","No ejecutable",IF(O99="VERIFICAR","Por verificar",IF(AND(F99="No cumple",O99="CUMPLE"),"Mejora",IF(AND(F99="No cumple",O99="PARCIAL"),"Mejora parcial",IF(AND(OR(F99="Cumple",F99="Sin ejecutar"),OR(O99="NO CUMPLE",O99="PARCIAL")),IF(F99="Cumple","Regresión","Falla nueva"),IF(AND(F99="No cumple",O99="NO CUMPLE"),"Sigue fallando","Se mantiene"))))))))</f>
        <v/>
      </c>
    </row>
    <row r="100" ht="46.25" customHeight="1" s="29">
      <c r="A100" s="34" t="n">
        <v>87</v>
      </c>
      <c r="B100" s="34" t="n">
        <v>87</v>
      </c>
      <c r="C100" s="34" t="inlineStr">
        <is>
          <t>Agregar registro</t>
        </is>
      </c>
      <c r="D100" s="34" t="inlineStr">
        <is>
          <t>Validamos que se muestra la Matriz de información (Fecha, hora, productos, Turnos, Totales (personal y monto))
Validar el ID del Detalle del pedido</t>
        </is>
      </c>
      <c r="E100" s="34" t="n"/>
      <c r="F100" s="53" t="inlineStr">
        <is>
          <t>Sin ejecutar</t>
        </is>
      </c>
      <c r="G100" s="53" t="n"/>
      <c r="H100" s="53" t="n"/>
      <c r="I100" s="54" t="n"/>
      <c r="J100" s="54" t="n"/>
      <c r="K100" s="54" t="n"/>
      <c r="L100" s="54" t="n"/>
      <c r="M100" s="54" t="n"/>
      <c r="N100" s="54" t="n"/>
      <c r="O100" s="55">
        <f>IF(M100&lt;&gt;"",M100,IF(K100&lt;&gt;"",K100,IF(I100&lt;&gt;"",I100,"")))</f>
        <v/>
      </c>
      <c r="P100" s="55">
        <f>IF(O100="","",IF(O100="PENDIENTE","Pendiente",IF(O100="NO EJECUTABLE","No ejecutable",IF(O100="VERIFICAR","Por verificar",IF(AND(F100="No cumple",O100="CUMPLE"),"Mejora",IF(AND(F100="No cumple",O100="PARCIAL"),"Mejora parcial",IF(AND(OR(F100="Cumple",F100="Sin ejecutar"),OR(O100="NO CUMPLE",O100="PARCIAL")),IF(F100="Cumple","Regresión","Falla nueva"),IF(AND(F100="No cumple",O100="NO CUMPLE"),"Sigue fallando","Se mantiene"))))))))</f>
        <v/>
      </c>
    </row>
    <row r="101" ht="23.85" customHeight="1" s="29">
      <c r="A101" s="34" t="n">
        <v>88</v>
      </c>
      <c r="B101" s="34" t="n">
        <v>88</v>
      </c>
      <c r="C101" s="34" t="inlineStr">
        <is>
          <t>Seleccionar Producto Seguridad Coordinador - MA</t>
        </is>
      </c>
      <c r="D101" s="34" t="n"/>
      <c r="E101" s="34" t="n"/>
      <c r="F101" s="53" t="inlineStr">
        <is>
          <t>Sin ejecutar</t>
        </is>
      </c>
      <c r="G101" s="53" t="n"/>
      <c r="H101" s="53" t="n"/>
      <c r="I101" s="54" t="n"/>
      <c r="J101" s="54" t="n"/>
      <c r="K101" s="54" t="n"/>
      <c r="L101" s="54" t="n"/>
      <c r="M101" s="54" t="n"/>
      <c r="N101" s="54" t="n"/>
      <c r="O101" s="55">
        <f>IF(M101&lt;&gt;"",M101,IF(K101&lt;&gt;"",K101,IF(I101&lt;&gt;"",I101,"")))</f>
        <v/>
      </c>
      <c r="P101" s="55">
        <f>IF(O101="","",IF(O101="PENDIENTE","Pendiente",IF(O101="NO EJECUTABLE","No ejecutable",IF(O101="VERIFICAR","Por verificar",IF(AND(F101="No cumple",O101="CUMPLE"),"Mejora",IF(AND(F101="No cumple",O101="PARCIAL"),"Mejora parcial",IF(AND(OR(F101="Cumple",F101="Sin ejecutar"),OR(O101="NO CUMPLE",O101="PARCIAL")),IF(F101="Cumple","Regresión","Falla nueva"),IF(AND(F101="No cumple",O101="NO CUMPLE"),"Sigue fallando","Se mantiene"))))))))</f>
        <v/>
      </c>
    </row>
    <row r="102" ht="23.85" customHeight="1" s="29">
      <c r="A102" s="34" t="n">
        <v>89</v>
      </c>
      <c r="B102" s="34" t="n">
        <v>89</v>
      </c>
      <c r="C102" s="34" t="inlineStr">
        <is>
          <t>Validar que el sistema muestra las horas por turno de ese producto</t>
        </is>
      </c>
      <c r="D102" s="34" t="inlineStr">
        <is>
          <t>Se muestra 1 turno por 8 horas</t>
        </is>
      </c>
      <c r="E102" s="34" t="n"/>
      <c r="F102" s="53" t="inlineStr">
        <is>
          <t>Sin ejecutar</t>
        </is>
      </c>
      <c r="G102" s="53" t="n"/>
      <c r="H102" s="53" t="n"/>
      <c r="I102" s="54" t="n"/>
      <c r="J102" s="54" t="n"/>
      <c r="K102" s="54" t="n"/>
      <c r="L102" s="54" t="n"/>
      <c r="M102" s="54" t="n"/>
      <c r="N102" s="54" t="n"/>
      <c r="O102" s="55">
        <f>IF(M102&lt;&gt;"",M102,IF(K102&lt;&gt;"",K102,IF(I102&lt;&gt;"",I102,"")))</f>
        <v/>
      </c>
      <c r="P102" s="55">
        <f>IF(O102="","",IF(O102="PENDIENTE","Pendiente",IF(O102="NO EJECUTABLE","No ejecutable",IF(O102="VERIFICAR","Por verificar",IF(AND(F102="No cumple",O102="CUMPLE"),"Mejora",IF(AND(F102="No cumple",O102="PARCIAL"),"Mejora parcial",IF(AND(OR(F102="Cumple",F102="Sin ejecutar"),OR(O102="NO CUMPLE",O102="PARCIAL")),IF(F102="Cumple","Regresión","Falla nueva"),IF(AND(F102="No cumple",O102="NO CUMPLE"),"Sigue fallando","Se mantiene"))))))))</f>
        <v/>
      </c>
    </row>
    <row r="103" ht="15" customHeight="1" s="29">
      <c r="A103" s="34" t="n">
        <v>90</v>
      </c>
      <c r="B103" s="34" t="n">
        <v>90</v>
      </c>
      <c r="C103" s="34" t="inlineStr">
        <is>
          <t>Poner Cantidad 1 y Turnos 1</t>
        </is>
      </c>
      <c r="D103" s="34" t="n"/>
      <c r="E103" s="34" t="n"/>
      <c r="F103" s="53" t="inlineStr">
        <is>
          <t>Sin ejecutar</t>
        </is>
      </c>
      <c r="G103" s="53" t="n"/>
      <c r="H103" s="53" t="n"/>
      <c r="I103" s="54" t="n"/>
      <c r="J103" s="54" t="n"/>
      <c r="K103" s="54" t="n"/>
      <c r="L103" s="54" t="n"/>
      <c r="M103" s="54" t="n"/>
      <c r="N103" s="54" t="n"/>
      <c r="O103" s="55">
        <f>IF(M103&lt;&gt;"",M103,IF(K103&lt;&gt;"",K103,IF(I103&lt;&gt;"",I103,"")))</f>
        <v/>
      </c>
      <c r="P103" s="55">
        <f>IF(O103="","",IF(O103="PENDIENTE","Pendiente",IF(O103="NO EJECUTABLE","No ejecutable",IF(O103="VERIFICAR","Por verificar",IF(AND(F103="No cumple",O103="CUMPLE"),"Mejora",IF(AND(F103="No cumple",O103="PARCIAL"),"Mejora parcial",IF(AND(OR(F103="Cumple",F103="Sin ejecutar"),OR(O103="NO CUMPLE",O103="PARCIAL")),IF(F103="Cumple","Regresión","Falla nueva"),IF(AND(F103="No cumple",O103="NO CUMPLE"),"Sigue fallando","Se mantiene"))))))))</f>
        <v/>
      </c>
    </row>
    <row r="104" ht="23.85" customHeight="1" s="29">
      <c r="A104" s="34" t="n">
        <v>91</v>
      </c>
      <c r="B104" s="34" t="n">
        <v>91</v>
      </c>
      <c r="C104" s="34" t="inlineStr">
        <is>
          <t>Seleccionar La misma fecha de cita que en el caso anterior</t>
        </is>
      </c>
      <c r="D104" s="34" t="n"/>
      <c r="E104" s="34" t="n"/>
      <c r="F104" s="53" t="inlineStr">
        <is>
          <t>Sin ejecutar</t>
        </is>
      </c>
      <c r="G104" s="53" t="n"/>
      <c r="H104" s="53" t="n"/>
      <c r="I104" s="54" t="n"/>
      <c r="J104" s="54" t="n"/>
      <c r="K104" s="54" t="n"/>
      <c r="L104" s="54" t="n"/>
      <c r="M104" s="54" t="n"/>
      <c r="N104" s="54" t="n"/>
      <c r="O104" s="55">
        <f>IF(M104&lt;&gt;"",M104,IF(K104&lt;&gt;"",K104,IF(I104&lt;&gt;"",I104,"")))</f>
        <v/>
      </c>
      <c r="P104" s="55">
        <f>IF(O104="","",IF(O104="PENDIENTE","Pendiente",IF(O104="NO EJECUTABLE","No ejecutable",IF(O104="VERIFICAR","Por verificar",IF(AND(F104="No cumple",O104="CUMPLE"),"Mejora",IF(AND(F104="No cumple",O104="PARCIAL"),"Mejora parcial",IF(AND(OR(F104="Cumple",F104="Sin ejecutar"),OR(O104="NO CUMPLE",O104="PARCIAL")),IF(F104="Cumple","Regresión","Falla nueva"),IF(AND(F104="No cumple",O104="NO CUMPLE"),"Sigue fallando","Se mantiene"))))))))</f>
        <v/>
      </c>
    </row>
    <row r="105" ht="35.05" customHeight="1" s="29">
      <c r="A105" s="34" t="n">
        <v>92</v>
      </c>
      <c r="B105" s="34" t="n">
        <v>92</v>
      </c>
      <c r="C105" s="34" t="inlineStr">
        <is>
          <t>Seleccionar una fecha de liberación posterior</t>
        </is>
      </c>
      <c r="D105" s="34" t="inlineStr">
        <is>
          <t>El sistema debe de mostrar una alerta por que no puede ser la fecha de liberación posterior a la fecha de cita</t>
        </is>
      </c>
      <c r="E105" s="34" t="n"/>
      <c r="F105" s="53" t="inlineStr">
        <is>
          <t>Sin ejecutar</t>
        </is>
      </c>
      <c r="G105" s="53" t="n"/>
      <c r="H105" s="53" t="n"/>
      <c r="I105" s="54" t="n"/>
      <c r="J105" s="54" t="n"/>
      <c r="K105" s="54" t="n"/>
      <c r="L105" s="54" t="n"/>
      <c r="M105" s="54" t="n"/>
      <c r="N105" s="54" t="n"/>
      <c r="O105" s="55">
        <f>IF(M105&lt;&gt;"",M105,IF(K105&lt;&gt;"",K105,IF(I105&lt;&gt;"",I105,"")))</f>
        <v/>
      </c>
      <c r="P105" s="55">
        <f>IF(O105="","",IF(O105="PENDIENTE","Pendiente",IF(O105="NO EJECUTABLE","No ejecutable",IF(O105="VERIFICAR","Por verificar",IF(AND(F105="No cumple",O105="CUMPLE"),"Mejora",IF(AND(F105="No cumple",O105="PARCIAL"),"Mejora parcial",IF(AND(OR(F105="Cumple",F105="Sin ejecutar"),OR(O105="NO CUMPLE",O105="PARCIAL")),IF(F105="Cumple","Regresión","Falla nueva"),IF(AND(F105="No cumple",O105="NO CUMPLE"),"Sigue fallando","Se mantiene"))))))))</f>
        <v/>
      </c>
    </row>
    <row r="106" ht="15" customHeight="1" s="29">
      <c r="A106" s="34" t="n">
        <v>93</v>
      </c>
      <c r="B106" s="34" t="n">
        <v>93</v>
      </c>
      <c r="C106" s="34" t="inlineStr">
        <is>
          <t>Seleccionar una fecha correcta de liberación</t>
        </is>
      </c>
      <c r="D106" s="34" t="n"/>
      <c r="E106" s="34" t="n"/>
      <c r="F106" s="53" t="inlineStr">
        <is>
          <t>Sin ejecutar</t>
        </is>
      </c>
      <c r="G106" s="53" t="n"/>
      <c r="H106" s="53" t="n"/>
      <c r="I106" s="54" t="n"/>
      <c r="J106" s="54" t="n"/>
      <c r="K106" s="54" t="n"/>
      <c r="L106" s="54" t="n"/>
      <c r="M106" s="54" t="n"/>
      <c r="N106" s="54" t="n"/>
      <c r="O106" s="55">
        <f>IF(M106&lt;&gt;"",M106,IF(K106&lt;&gt;"",K106,IF(I106&lt;&gt;"",I106,"")))</f>
        <v/>
      </c>
      <c r="P106" s="55">
        <f>IF(O106="","",IF(O106="PENDIENTE","Pendiente",IF(O106="NO EJECUTABLE","No ejecutable",IF(O106="VERIFICAR","Por verificar",IF(AND(F106="No cumple",O106="CUMPLE"),"Mejora",IF(AND(F106="No cumple",O106="PARCIAL"),"Mejora parcial",IF(AND(OR(F106="Cumple",F106="Sin ejecutar"),OR(O106="NO CUMPLE",O106="PARCIAL")),IF(F106="Cumple","Regresión","Falla nueva"),IF(AND(F106="No cumple",O106="NO CUMPLE"),"Sigue fallando","Se mantiene"))))))))</f>
        <v/>
      </c>
    </row>
    <row r="107" ht="23.85" customHeight="1" s="29">
      <c r="A107" s="34" t="n">
        <v>94</v>
      </c>
      <c r="B107" s="34" t="n">
        <v>94</v>
      </c>
      <c r="C107" s="34" t="inlineStr">
        <is>
          <t>En presentación por producto, validar que sólo muentren las de la unidad de negocio</t>
        </is>
      </c>
      <c r="D107" s="34" t="n"/>
      <c r="E107" s="34" t="n"/>
      <c r="F107" s="53" t="inlineStr">
        <is>
          <t>Sin ejecutar</t>
        </is>
      </c>
      <c r="G107" s="53" t="n"/>
      <c r="H107" s="53" t="n"/>
      <c r="I107" s="54" t="n"/>
      <c r="J107" s="54" t="n"/>
      <c r="K107" s="54" t="n"/>
      <c r="L107" s="54" t="n"/>
      <c r="M107" s="54" t="n"/>
      <c r="N107" s="54" t="n"/>
      <c r="O107" s="55">
        <f>IF(M107&lt;&gt;"",M107,IF(K107&lt;&gt;"",K107,IF(I107&lt;&gt;"",I107,"")))</f>
        <v/>
      </c>
      <c r="P107" s="55">
        <f>IF(O107="","",IF(O107="PENDIENTE","Pendiente",IF(O107="NO EJECUTABLE","No ejecutable",IF(O107="VERIFICAR","Por verificar",IF(AND(F107="No cumple",O107="CUMPLE"),"Mejora",IF(AND(F107="No cumple",O107="PARCIAL"),"Mejora parcial",IF(AND(OR(F107="Cumple",F107="Sin ejecutar"),OR(O107="NO CUMPLE",O107="PARCIAL")),IF(F107="Cumple","Regresión","Falla nueva"),IF(AND(F107="No cumple",O107="NO CUMPLE"),"Sigue fallando","Se mantiene"))))))))</f>
        <v/>
      </c>
    </row>
    <row r="108" ht="15" customHeight="1" s="29">
      <c r="A108" s="34" t="n">
        <v>95</v>
      </c>
      <c r="B108" s="34" t="n">
        <v>95</v>
      </c>
      <c r="C108" s="34" t="inlineStr">
        <is>
          <t>Completar con similares - Marcar NO</t>
        </is>
      </c>
      <c r="D108" s="34" t="n"/>
      <c r="E108" s="34" t="n"/>
      <c r="F108" s="53" t="inlineStr">
        <is>
          <t>Sin ejecutar</t>
        </is>
      </c>
      <c r="G108" s="53" t="n"/>
      <c r="H108" s="53" t="n"/>
      <c r="I108" s="54" t="n"/>
      <c r="J108" s="54" t="n"/>
      <c r="K108" s="54" t="n"/>
      <c r="L108" s="54" t="n"/>
      <c r="M108" s="54" t="n"/>
      <c r="N108" s="54" t="n"/>
      <c r="O108" s="55">
        <f>IF(M108&lt;&gt;"",M108,IF(K108&lt;&gt;"",K108,IF(I108&lt;&gt;"",I108,"")))</f>
        <v/>
      </c>
      <c r="P108" s="55">
        <f>IF(O108="","",IF(O108="PENDIENTE","Pendiente",IF(O108="NO EJECUTABLE","No ejecutable",IF(O108="VERIFICAR","Por verificar",IF(AND(F108="No cumple",O108="CUMPLE"),"Mejora",IF(AND(F108="No cumple",O108="PARCIAL"),"Mejora parcial",IF(AND(OR(F108="Cumple",F108="Sin ejecutar"),OR(O108="NO CUMPLE",O108="PARCIAL")),IF(F108="Cumple","Regresión","Falla nueva"),IF(AND(F108="No cumple",O108="NO CUMPLE"),"Sigue fallando","Se mantiene"))))))))</f>
        <v/>
      </c>
    </row>
    <row r="109" ht="46.25" customHeight="1" s="29">
      <c r="A109" s="34" t="n">
        <v>96</v>
      </c>
      <c r="B109" s="34" t="n">
        <v>96</v>
      </c>
      <c r="C109" s="34" t="inlineStr">
        <is>
          <t>Agregar registro</t>
        </is>
      </c>
      <c r="D109" s="34" t="inlineStr">
        <is>
          <t>Validamos que se muestra la Matriz de información (Fecha, hora, productos, Turnos, Totales (personal y monto))
Validar el ID del Detalle del pedido</t>
        </is>
      </c>
      <c r="E109" s="34" t="n"/>
      <c r="F109" s="53" t="inlineStr">
        <is>
          <t>Sin ejecutar</t>
        </is>
      </c>
      <c r="G109" s="53" t="n"/>
      <c r="H109" s="53" t="n"/>
      <c r="I109" s="54" t="n"/>
      <c r="J109" s="54" t="n"/>
      <c r="K109" s="54" t="n"/>
      <c r="L109" s="54" t="n"/>
      <c r="M109" s="54" t="n"/>
      <c r="N109" s="54" t="n"/>
      <c r="O109" s="55">
        <f>IF(M109&lt;&gt;"",M109,IF(K109&lt;&gt;"",K109,IF(I109&lt;&gt;"",I109,"")))</f>
        <v/>
      </c>
      <c r="P109" s="55">
        <f>IF(O109="","",IF(O109="PENDIENTE","Pendiente",IF(O109="NO EJECUTABLE","No ejecutable",IF(O109="VERIFICAR","Por verificar",IF(AND(F109="No cumple",O109="CUMPLE"),"Mejora",IF(AND(F109="No cumple",O109="PARCIAL"),"Mejora parcial",IF(AND(OR(F109="Cumple",F109="Sin ejecutar"),OR(O109="NO CUMPLE",O109="PARCIAL")),IF(F109="Cumple","Regresión","Falla nueva"),IF(AND(F109="No cumple",O109="NO CUMPLE"),"Sigue fallando","Se mantiene"))))))))</f>
        <v/>
      </c>
    </row>
    <row r="110" ht="23.85" customHeight="1" s="29">
      <c r="A110" s="34" t="n">
        <v>97</v>
      </c>
      <c r="B110" s="34" t="n">
        <v>97</v>
      </c>
      <c r="C110" s="34" t="inlineStr">
        <is>
          <t>Seleccionar Producto Seguridad Supervisores - IN</t>
        </is>
      </c>
      <c r="D110" s="34" t="n"/>
      <c r="E110" s="34" t="n"/>
      <c r="F110" s="53" t="inlineStr">
        <is>
          <t>Sin ejecutar</t>
        </is>
      </c>
      <c r="G110" s="53" t="n"/>
      <c r="H110" s="53" t="n"/>
      <c r="I110" s="54" t="n"/>
      <c r="J110" s="54" t="n"/>
      <c r="K110" s="54" t="n"/>
      <c r="L110" s="54" t="n"/>
      <c r="M110" s="54" t="n"/>
      <c r="N110" s="54" t="n"/>
      <c r="O110" s="55">
        <f>IF(M110&lt;&gt;"",M110,IF(K110&lt;&gt;"",K110,IF(I110&lt;&gt;"",I110,"")))</f>
        <v/>
      </c>
      <c r="P110" s="55">
        <f>IF(O110="","",IF(O110="PENDIENTE","Pendiente",IF(O110="NO EJECUTABLE","No ejecutable",IF(O110="VERIFICAR","Por verificar",IF(AND(F110="No cumple",O110="CUMPLE"),"Mejora",IF(AND(F110="No cumple",O110="PARCIAL"),"Mejora parcial",IF(AND(OR(F110="Cumple",F110="Sin ejecutar"),OR(O110="NO CUMPLE",O110="PARCIAL")),IF(F110="Cumple","Regresión","Falla nueva"),IF(AND(F110="No cumple",O110="NO CUMPLE"),"Sigue fallando","Se mantiene"))))))))</f>
        <v/>
      </c>
    </row>
    <row r="111" ht="23.85" customHeight="1" s="29">
      <c r="A111" s="34" t="n">
        <v>98</v>
      </c>
      <c r="B111" s="34" t="n">
        <v>98</v>
      </c>
      <c r="C111" s="34" t="inlineStr">
        <is>
          <t>Validar que el sistema muestra las horas por turno de ese producto</t>
        </is>
      </c>
      <c r="D111" s="34" t="inlineStr">
        <is>
          <t>Se muestra 1 turno por 8 horas</t>
        </is>
      </c>
      <c r="E111" s="34" t="n"/>
      <c r="F111" s="53" t="inlineStr">
        <is>
          <t>Sin ejecutar</t>
        </is>
      </c>
      <c r="G111" s="53" t="n"/>
      <c r="H111" s="53" t="n"/>
      <c r="I111" s="54" t="n"/>
      <c r="J111" s="54" t="n"/>
      <c r="K111" s="54" t="n"/>
      <c r="L111" s="54" t="n"/>
      <c r="M111" s="54" t="n"/>
      <c r="N111" s="54" t="n"/>
      <c r="O111" s="55">
        <f>IF(M111&lt;&gt;"",M111,IF(K111&lt;&gt;"",K111,IF(I111&lt;&gt;"",I111,"")))</f>
        <v/>
      </c>
      <c r="P111" s="55">
        <f>IF(O111="","",IF(O111="PENDIENTE","Pendiente",IF(O111="NO EJECUTABLE","No ejecutable",IF(O111="VERIFICAR","Por verificar",IF(AND(F111="No cumple",O111="CUMPLE"),"Mejora",IF(AND(F111="No cumple",O111="PARCIAL"),"Mejora parcial",IF(AND(OR(F111="Cumple",F111="Sin ejecutar"),OR(O111="NO CUMPLE",O111="PARCIAL")),IF(F111="Cumple","Regresión","Falla nueva"),IF(AND(F111="No cumple",O111="NO CUMPLE"),"Sigue fallando","Se mantiene"))))))))</f>
        <v/>
      </c>
    </row>
    <row r="112" ht="15" customHeight="1" s="29">
      <c r="A112" s="34" t="n">
        <v>99</v>
      </c>
      <c r="B112" s="34" t="n">
        <v>99</v>
      </c>
      <c r="C112" s="34" t="inlineStr">
        <is>
          <t>Poner Cantidad 7 y Turnos 1</t>
        </is>
      </c>
      <c r="D112" s="34" t="n"/>
      <c r="E112" s="34" t="n"/>
      <c r="F112" s="53" t="inlineStr">
        <is>
          <t>Sin ejecutar</t>
        </is>
      </c>
      <c r="G112" s="53" t="n"/>
      <c r="H112" s="53" t="n"/>
      <c r="I112" s="54" t="n"/>
      <c r="J112" s="54" t="n"/>
      <c r="K112" s="54" t="n"/>
      <c r="L112" s="54" t="n"/>
      <c r="M112" s="54" t="n"/>
      <c r="N112" s="54" t="n"/>
      <c r="O112" s="55">
        <f>IF(M112&lt;&gt;"",M112,IF(K112&lt;&gt;"",K112,IF(I112&lt;&gt;"",I112,"")))</f>
        <v/>
      </c>
      <c r="P112" s="55">
        <f>IF(O112="","",IF(O112="PENDIENTE","Pendiente",IF(O112="NO EJECUTABLE","No ejecutable",IF(O112="VERIFICAR","Por verificar",IF(AND(F112="No cumple",O112="CUMPLE"),"Mejora",IF(AND(F112="No cumple",O112="PARCIAL"),"Mejora parcial",IF(AND(OR(F112="Cumple",F112="Sin ejecutar"),OR(O112="NO CUMPLE",O112="PARCIAL")),IF(F112="Cumple","Regresión","Falla nueva"),IF(AND(F112="No cumple",O112="NO CUMPLE"),"Sigue fallando","Se mantiene"))))))))</f>
        <v/>
      </c>
    </row>
    <row r="113" ht="23.85" customHeight="1" s="29">
      <c r="A113" s="34" t="n">
        <v>100</v>
      </c>
      <c r="B113" s="34" t="n">
        <v>100</v>
      </c>
      <c r="C113" s="34" t="inlineStr">
        <is>
          <t>Seleccionar La misma fecha de cita que en el caso anterior</t>
        </is>
      </c>
      <c r="D113" s="34" t="n"/>
      <c r="E113" s="34" t="n"/>
      <c r="F113" s="53" t="inlineStr">
        <is>
          <t>Sin ejecutar</t>
        </is>
      </c>
      <c r="G113" s="53" t="n"/>
      <c r="H113" s="53" t="n"/>
      <c r="I113" s="54" t="n"/>
      <c r="J113" s="54" t="n"/>
      <c r="K113" s="54" t="n"/>
      <c r="L113" s="54" t="n"/>
      <c r="M113" s="54" t="n"/>
      <c r="N113" s="54" t="n"/>
      <c r="O113" s="55">
        <f>IF(M113&lt;&gt;"",M113,IF(K113&lt;&gt;"",K113,IF(I113&lt;&gt;"",I113,"")))</f>
        <v/>
      </c>
      <c r="P113" s="55">
        <f>IF(O113="","",IF(O113="PENDIENTE","Pendiente",IF(O113="NO EJECUTABLE","No ejecutable",IF(O113="VERIFICAR","Por verificar",IF(AND(F113="No cumple",O113="CUMPLE"),"Mejora",IF(AND(F113="No cumple",O113="PARCIAL"),"Mejora parcial",IF(AND(OR(F113="Cumple",F113="Sin ejecutar"),OR(O113="NO CUMPLE",O113="PARCIAL")),IF(F113="Cumple","Regresión","Falla nueva"),IF(AND(F113="No cumple",O113="NO CUMPLE"),"Sigue fallando","Se mantiene"))))))))</f>
        <v/>
      </c>
    </row>
    <row r="114" ht="35.05" customHeight="1" s="29">
      <c r="A114" s="34" t="n">
        <v>101</v>
      </c>
      <c r="B114" s="34" t="n">
        <v>101</v>
      </c>
      <c r="C114" s="34" t="inlineStr">
        <is>
          <t>Seleccionar una fecha de liberación posterior</t>
        </is>
      </c>
      <c r="D114" s="34" t="inlineStr">
        <is>
          <t>El sistema debe de mostrar una alerta por que no puede ser la fecha de liberación posterior a la fecha de cita</t>
        </is>
      </c>
      <c r="E114" s="34" t="n"/>
      <c r="F114" s="53" t="inlineStr">
        <is>
          <t>Sin ejecutar</t>
        </is>
      </c>
      <c r="G114" s="53" t="n"/>
      <c r="H114" s="53" t="n"/>
      <c r="I114" s="54" t="n"/>
      <c r="J114" s="54" t="n"/>
      <c r="K114" s="54" t="n"/>
      <c r="L114" s="54" t="n"/>
      <c r="M114" s="54" t="n"/>
      <c r="N114" s="54" t="n"/>
      <c r="O114" s="55">
        <f>IF(M114&lt;&gt;"",M114,IF(K114&lt;&gt;"",K114,IF(I114&lt;&gt;"",I114,"")))</f>
        <v/>
      </c>
      <c r="P114" s="55">
        <f>IF(O114="","",IF(O114="PENDIENTE","Pendiente",IF(O114="NO EJECUTABLE","No ejecutable",IF(O114="VERIFICAR","Por verificar",IF(AND(F114="No cumple",O114="CUMPLE"),"Mejora",IF(AND(F114="No cumple",O114="PARCIAL"),"Mejora parcial",IF(AND(OR(F114="Cumple",F114="Sin ejecutar"),OR(O114="NO CUMPLE",O114="PARCIAL")),IF(F114="Cumple","Regresión","Falla nueva"),IF(AND(F114="No cumple",O114="NO CUMPLE"),"Sigue fallando","Se mantiene"))))))))</f>
        <v/>
      </c>
    </row>
    <row r="115" ht="15" customHeight="1" s="29">
      <c r="A115" s="34" t="n">
        <v>102</v>
      </c>
      <c r="B115" s="34" t="n">
        <v>102</v>
      </c>
      <c r="C115" s="34" t="inlineStr">
        <is>
          <t>Seleccionar una fecha correcta de liberación</t>
        </is>
      </c>
      <c r="D115" s="34" t="n"/>
      <c r="E115" s="34" t="n"/>
      <c r="F115" s="53" t="inlineStr">
        <is>
          <t>Sin ejecutar</t>
        </is>
      </c>
      <c r="G115" s="53" t="n"/>
      <c r="H115" s="53" t="n"/>
      <c r="I115" s="54" t="n"/>
      <c r="J115" s="54" t="n"/>
      <c r="K115" s="54" t="n"/>
      <c r="L115" s="54" t="n"/>
      <c r="M115" s="54" t="n"/>
      <c r="N115" s="54" t="n"/>
      <c r="O115" s="55">
        <f>IF(M115&lt;&gt;"",M115,IF(K115&lt;&gt;"",K115,IF(I115&lt;&gt;"",I115,"")))</f>
        <v/>
      </c>
      <c r="P115" s="55">
        <f>IF(O115="","",IF(O115="PENDIENTE","Pendiente",IF(O115="NO EJECUTABLE","No ejecutable",IF(O115="VERIFICAR","Por verificar",IF(AND(F115="No cumple",O115="CUMPLE"),"Mejora",IF(AND(F115="No cumple",O115="PARCIAL"),"Mejora parcial",IF(AND(OR(F115="Cumple",F115="Sin ejecutar"),OR(O115="NO CUMPLE",O115="PARCIAL")),IF(F115="Cumple","Regresión","Falla nueva"),IF(AND(F115="No cumple",O115="NO CUMPLE"),"Sigue fallando","Se mantiene"))))))))</f>
        <v/>
      </c>
    </row>
    <row r="116" ht="23.85" customHeight="1" s="29">
      <c r="A116" s="34" t="n">
        <v>103</v>
      </c>
      <c r="B116" s="34" t="n">
        <v>103</v>
      </c>
      <c r="C116" s="34" t="inlineStr">
        <is>
          <t>En presentación por producto, validar que sólo muentren las de la unidad de negocio</t>
        </is>
      </c>
      <c r="D116" s="34" t="n"/>
      <c r="E116" s="34" t="n"/>
      <c r="F116" s="53" t="inlineStr">
        <is>
          <t>Sin ejecutar</t>
        </is>
      </c>
      <c r="G116" s="53" t="n"/>
      <c r="H116" s="53" t="n"/>
      <c r="I116" s="54" t="n"/>
      <c r="J116" s="54" t="n"/>
      <c r="K116" s="54" t="n"/>
      <c r="L116" s="54" t="n"/>
      <c r="M116" s="54" t="n"/>
      <c r="N116" s="54" t="n"/>
      <c r="O116" s="55">
        <f>IF(M116&lt;&gt;"",M116,IF(K116&lt;&gt;"",K116,IF(I116&lt;&gt;"",I116,"")))</f>
        <v/>
      </c>
      <c r="P116" s="55">
        <f>IF(O116="","",IF(O116="PENDIENTE","Pendiente",IF(O116="NO EJECUTABLE","No ejecutable",IF(O116="VERIFICAR","Por verificar",IF(AND(F116="No cumple",O116="CUMPLE"),"Mejora",IF(AND(F116="No cumple",O116="PARCIAL"),"Mejora parcial",IF(AND(OR(F116="Cumple",F116="Sin ejecutar"),OR(O116="NO CUMPLE",O116="PARCIAL")),IF(F116="Cumple","Regresión","Falla nueva"),IF(AND(F116="No cumple",O116="NO CUMPLE"),"Sigue fallando","Se mantiene"))))))))</f>
        <v/>
      </c>
    </row>
    <row r="117" ht="15" customHeight="1" s="29">
      <c r="A117" s="34" t="n">
        <v>104</v>
      </c>
      <c r="B117" s="34" t="n">
        <v>104</v>
      </c>
      <c r="C117" s="34" t="inlineStr">
        <is>
          <t>Completar con similares - Marcar NO</t>
        </is>
      </c>
      <c r="D117" s="34" t="n"/>
      <c r="E117" s="34" t="n"/>
      <c r="F117" s="53" t="inlineStr">
        <is>
          <t>Sin ejecutar</t>
        </is>
      </c>
      <c r="G117" s="53" t="n"/>
      <c r="H117" s="53" t="n"/>
      <c r="I117" s="54" t="n"/>
      <c r="J117" s="54" t="n"/>
      <c r="K117" s="54" t="n"/>
      <c r="L117" s="54" t="n"/>
      <c r="M117" s="54" t="n"/>
      <c r="N117" s="54" t="n"/>
      <c r="O117" s="55">
        <f>IF(M117&lt;&gt;"",M117,IF(K117&lt;&gt;"",K117,IF(I117&lt;&gt;"",I117,"")))</f>
        <v/>
      </c>
      <c r="P117" s="55">
        <f>IF(O117="","",IF(O117="PENDIENTE","Pendiente",IF(O117="NO EJECUTABLE","No ejecutable",IF(O117="VERIFICAR","Por verificar",IF(AND(F117="No cumple",O117="CUMPLE"),"Mejora",IF(AND(F117="No cumple",O117="PARCIAL"),"Mejora parcial",IF(AND(OR(F117="Cumple",F117="Sin ejecutar"),OR(O117="NO CUMPLE",O117="PARCIAL")),IF(F117="Cumple","Regresión","Falla nueva"),IF(AND(F117="No cumple",O117="NO CUMPLE"),"Sigue fallando","Se mantiene"))))))))</f>
        <v/>
      </c>
    </row>
    <row r="118" ht="46.25" customHeight="1" s="29">
      <c r="A118" s="34" t="n">
        <v>105</v>
      </c>
      <c r="B118" s="34" t="n">
        <v>105</v>
      </c>
      <c r="C118" s="34" t="inlineStr">
        <is>
          <t>Agregar registro</t>
        </is>
      </c>
      <c r="D118" s="34" t="inlineStr">
        <is>
          <t>Validamos que se muestra la Matriz de información (Fecha, hora, productos, Turnos, Totales (personal y monto))
Validar el ID del Detalle del pedido</t>
        </is>
      </c>
      <c r="E118" s="34" t="n"/>
      <c r="F118" s="53" t="inlineStr">
        <is>
          <t>Sin ejecutar</t>
        </is>
      </c>
      <c r="G118" s="53" t="n"/>
      <c r="H118" s="53" t="n"/>
      <c r="I118" s="54" t="n"/>
      <c r="J118" s="54" t="n"/>
      <c r="K118" s="54" t="n"/>
      <c r="L118" s="54" t="n"/>
      <c r="M118" s="54" t="n"/>
      <c r="N118" s="54" t="n"/>
      <c r="O118" s="55">
        <f>IF(M118&lt;&gt;"",M118,IF(K118&lt;&gt;"",K118,IF(I118&lt;&gt;"",I118,"")))</f>
        <v/>
      </c>
      <c r="P118" s="55">
        <f>IF(O118="","",IF(O118="PENDIENTE","Pendiente",IF(O118="NO EJECUTABLE","No ejecutable",IF(O118="VERIFICAR","Por verificar",IF(AND(F118="No cumple",O118="CUMPLE"),"Mejora",IF(AND(F118="No cumple",O118="PARCIAL"),"Mejora parcial",IF(AND(OR(F118="Cumple",F118="Sin ejecutar"),OR(O118="NO CUMPLE",O118="PARCIAL")),IF(F118="Cumple","Regresión","Falla nueva"),IF(AND(F118="No cumple",O118="NO CUMPLE"),"Sigue fallando","Se mantiene"))))))))</f>
        <v/>
      </c>
    </row>
    <row r="119" ht="15" customHeight="1" s="29">
      <c r="A119" s="34" t="n">
        <v>106</v>
      </c>
      <c r="B119" s="34" t="n"/>
      <c r="C119" s="34" t="inlineStr">
        <is>
          <t>El pedido debe quedar de la siguiente forma:</t>
        </is>
      </c>
      <c r="D119" s="34" t="n"/>
      <c r="E119" s="34" t="n"/>
      <c r="F119" s="53" t="inlineStr">
        <is>
          <t>Sin ejecutar</t>
        </is>
      </c>
      <c r="G119" s="53" t="n"/>
      <c r="H119" s="53" t="n"/>
      <c r="I119" s="54" t="n"/>
      <c r="J119" s="54" t="n"/>
      <c r="K119" s="54" t="n"/>
      <c r="L119" s="54" t="n"/>
      <c r="M119" s="54" t="n"/>
      <c r="N119" s="54" t="n"/>
      <c r="O119" s="55">
        <f>IF(M119&lt;&gt;"",M119,IF(K119&lt;&gt;"",K119,IF(I119&lt;&gt;"",I119,"")))</f>
        <v/>
      </c>
      <c r="P119" s="55">
        <f>IF(O119="","",IF(O119="PENDIENTE","Pendiente",IF(O119="NO EJECUTABLE","No ejecutable",IF(O119="VERIFICAR","Por verificar",IF(AND(F119="No cumple",O119="CUMPLE"),"Mejora",IF(AND(F119="No cumple",O119="PARCIAL"),"Mejora parcial",IF(AND(OR(F119="Cumple",F119="Sin ejecutar"),OR(O119="NO CUMPLE",O119="PARCIAL")),IF(F119="Cumple","Regresión","Falla nueva"),IF(AND(F119="No cumple",O119="NO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119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119 K13:K119 M13:M119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P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ESC-05 — Seriado con cancelación de un día para que no deje forzar ese día de otro pedido</t>
        </is>
      </c>
    </row>
    <row r="2" ht="15" customHeight="1" s="29">
      <c r="A2" s="45" t="inlineStr">
        <is>
          <t>Núm. original</t>
        </is>
      </c>
      <c r="B2" s="46" t="inlineStr">
        <is>
          <t>Escenario 5</t>
        </is>
      </c>
      <c r="I2" s="45" t="inlineStr">
        <is>
          <t>Pasos</t>
        </is>
      </c>
      <c r="J2" s="45">
        <f>COUNT(A13:A62)</f>
        <v/>
      </c>
    </row>
    <row r="3" ht="15" customHeight="1" s="29">
      <c r="A3" s="45" t="inlineStr">
        <is>
          <t>Módulo</t>
        </is>
      </c>
      <c r="B3" s="46" t="inlineStr">
        <is>
          <t>Pedidos / Asignaciones</t>
        </is>
      </c>
      <c r="I3" s="45" t="inlineStr">
        <is>
          <t>Ejecutados (último)</t>
        </is>
      </c>
      <c r="J3" s="45">
        <f>COUNTIF(O13:O62,"?*")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seriados: bloque semanal, cancelación de un día y que no se pueda forzar ese día desde otro pedido según la propiedad del puesto.</t>
        </is>
      </c>
      <c r="I4" s="45" t="inlineStr">
        <is>
          <t>CUMPLE (último)</t>
        </is>
      </c>
      <c r="J4" s="45">
        <f>COUNTIF(O13:O62,"CUMPLE")</f>
        <v/>
      </c>
    </row>
    <row r="5" ht="15" customHeight="1" s="29">
      <c r="A5" s="45" t="inlineStr">
        <is>
          <t>Funcionalidades</t>
        </is>
      </c>
      <c r="B5" s="46" t="inlineStr">
        <is>
          <t>PEP temporal (Z-PEP) · bloques · seriado semanal · cancelación de un detalle · regla de confirmación entre seriados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Requiere que un empleado confirme el bloque (portal)</t>
        </is>
      </c>
    </row>
    <row r="7" ht="15" customHeight="1" s="29">
      <c r="A7" s="45" t="inlineStr">
        <is>
          <t>Sesión sugerida</t>
        </is>
      </c>
      <c r="B7" s="46" t="inlineStr">
        <is>
          <t>S05</t>
        </is>
      </c>
    </row>
    <row r="8" ht="15" customHeight="1" s="29">
      <c r="A8" s="45" t="inlineStr">
        <is>
          <t>⚠ Calidad del caso</t>
        </is>
      </c>
      <c r="B8" s="48" t="inlineStr">
        <is>
          <t>Numeración repetida (varios pasos '13'). Producto de Operaciones Inmuebles con esperado 'catálogo PRG'. Fase: legado observa 'Ninguno' vs 'No aplica'. Variante final sin pasos.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>
        <v>1</v>
      </c>
      <c r="C13" s="34" t="inlineStr">
        <is>
          <t>Crear un nuevo pedido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15" customHeight="1" s="29">
      <c r="A14" s="34" t="n">
        <v>2</v>
      </c>
      <c r="B14" s="34" t="n">
        <v>2</v>
      </c>
      <c r="C14" s="34" t="inlineStr">
        <is>
          <t>Seleccionar cliente Ocesa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>
        <v>3</v>
      </c>
      <c r="C15" s="34" t="inlineStr">
        <is>
          <t>Validar lista de contactos</t>
        </is>
      </c>
      <c r="D15" s="34" t="inlineStr">
        <is>
          <t>Los contactos mostrados deben pertenecer al cliente Ocesa</t>
        </is>
      </c>
      <c r="E15" s="34" t="n"/>
      <c r="F15" s="53" t="inlineStr">
        <is>
          <t>Cumple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>
        <v>4</v>
      </c>
      <c r="C16" s="34" t="inlineStr">
        <is>
          <t>Seleccionar un evento</t>
        </is>
      </c>
      <c r="D16" s="34" t="n"/>
      <c r="E16" s="34" t="n"/>
      <c r="F16" s="53" t="inlineStr">
        <is>
          <t>Cumple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>
        <v>5</v>
      </c>
      <c r="C17" s="34" t="inlineStr">
        <is>
          <t>Seleccionar UN Operaciones Inmuebles</t>
        </is>
      </c>
      <c r="D17" s="34" t="inlineStr">
        <is>
          <t>El sistema despliega los PEPS de la UN de seguridad, y la sociedad pagadora</t>
        </is>
      </c>
      <c r="E17" s="37" t="inlineStr">
        <is>
          <t>Esperado copiado ('UN de seguridad').</t>
        </is>
      </c>
      <c r="F17" s="53" t="inlineStr">
        <is>
          <t>Cumple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>
        <v>6</v>
      </c>
      <c r="C18" s="34" t="inlineStr">
        <is>
          <t>Seleccionar un PEP Temporal (Se identifican con Z-PEP)</t>
        </is>
      </c>
      <c r="D18" s="34" t="inlineStr">
        <is>
          <t>Validar que el sistema por defecto no trae lugar de cita, ni inmueble</t>
        </is>
      </c>
      <c r="E18" s="34" t="n"/>
      <c r="F18" s="53" t="inlineStr">
        <is>
          <t>Cumple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>
        <v>7</v>
      </c>
      <c r="C19" s="34" t="inlineStr">
        <is>
          <t>Seleccionar un Lugar de Cita</t>
        </is>
      </c>
      <c r="D19" s="34" t="n"/>
      <c r="E19" s="34" t="n"/>
      <c r="F19" s="53" t="inlineStr">
        <is>
          <t>Cumple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>
        <v>8</v>
      </c>
      <c r="C20" s="34" t="inlineStr">
        <is>
          <t>Validar tipo de movimiento</t>
        </is>
      </c>
      <c r="D20" s="34" t="inlineStr">
        <is>
          <t>El sistema debe mostrar dos tipos de movimiento (Pedido y Servicio Interno)</t>
        </is>
      </c>
      <c r="E20" s="34" t="n"/>
      <c r="F20" s="53" t="inlineStr">
        <is>
          <t>Cumple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23.85" customHeight="1" s="29">
      <c r="A21" s="34" t="n">
        <v>9</v>
      </c>
      <c r="B21" s="34" t="n">
        <v>9</v>
      </c>
      <c r="C21" s="34" t="inlineStr">
        <is>
          <t>Seleccionar Tipo de movimiento Servicio Interno</t>
        </is>
      </c>
      <c r="D21" s="34" t="inlineStr">
        <is>
          <t>EL tipo Pedido se factura (validar posteriormente)</t>
        </is>
      </c>
      <c r="E21" s="37" t="inlineStr">
        <is>
          <t>Servicio Interno con esperado de Pedido.</t>
        </is>
      </c>
      <c r="F21" s="53" t="inlineStr">
        <is>
          <t>Cumple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23.85" customHeight="1" s="29">
      <c r="A22" s="34" t="n">
        <v>10</v>
      </c>
      <c r="B22" s="34" t="n">
        <v>10</v>
      </c>
      <c r="C22" s="34" t="inlineStr">
        <is>
          <t>En complejidad indicar que No Aplica</t>
        </is>
      </c>
      <c r="D22" s="34" t="inlineStr">
        <is>
          <t>Validar que para esta UN no aplica Complejidad (sólo muestra esa opción)</t>
        </is>
      </c>
      <c r="E22" s="34" t="n"/>
      <c r="F22" s="53" t="inlineStr">
        <is>
          <t>Cumple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15" customHeight="1" s="29">
      <c r="A23" s="34" t="n">
        <v>11</v>
      </c>
      <c r="B23" s="34" t="n">
        <v>11</v>
      </c>
      <c r="C23" s="34" t="inlineStr">
        <is>
          <t>En el campo Permitir Cancelar, seleccionar NO</t>
        </is>
      </c>
      <c r="D23" s="34" t="n"/>
      <c r="E23" s="34" t="n"/>
      <c r="F23" s="53" t="inlineStr">
        <is>
          <t>Cumple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23.85" customHeight="1" s="29">
      <c r="A24" s="34" t="n">
        <v>12</v>
      </c>
      <c r="B24" s="34" t="n">
        <v>12</v>
      </c>
      <c r="C24" s="34" t="inlineStr">
        <is>
          <t>Pulsar Aceptar</t>
        </is>
      </c>
      <c r="D24" s="34" t="inlineStr">
        <is>
          <t>El sistema genera un número consecutivo de pedido.</t>
        </is>
      </c>
      <c r="E24" s="34" t="n"/>
      <c r="F24" s="53" t="inlineStr">
        <is>
          <t>Cumple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15" customHeight="1" s="29">
      <c r="A25" s="56" t="n"/>
      <c r="B25" s="56" t="n"/>
      <c r="C25" s="57" t="inlineStr">
        <is>
          <t>Pedido Detalle</t>
        </is>
      </c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</row>
    <row r="26" ht="23.85" customHeight="1" s="29">
      <c r="A26" s="34" t="n">
        <v>13</v>
      </c>
      <c r="B26" s="34" t="n">
        <v>13</v>
      </c>
      <c r="C26" s="34" t="inlineStr">
        <is>
          <t>Tipo de personal</t>
        </is>
      </c>
      <c r="D26" s="34" t="inlineStr">
        <is>
          <t>Validad que sólo se muestren Operativos al no tener complejidad</t>
        </is>
      </c>
      <c r="E26" s="34" t="n"/>
      <c r="F26" s="53" t="inlineStr">
        <is>
          <t>Cumple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15" customHeight="1" s="29">
      <c r="A27" s="34" t="n">
        <v>14</v>
      </c>
      <c r="B27" s="34" t="n">
        <v>13</v>
      </c>
      <c r="C27" s="34" t="inlineStr">
        <is>
          <t>Seleccionar Operativo</t>
        </is>
      </c>
      <c r="D27" s="34" t="n"/>
      <c r="E27" s="34" t="n"/>
      <c r="F27" s="53" t="inlineStr">
        <is>
          <t>Cumple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23.85" customHeight="1" s="29">
      <c r="A28" s="34" t="n">
        <v>15</v>
      </c>
      <c r="B28" s="34" t="n">
        <v>13</v>
      </c>
      <c r="C28" s="34" t="inlineStr">
        <is>
          <t>Producto: Especialistas Estructuras Inmuebles - IN</t>
        </is>
      </c>
      <c r="D28" s="34" t="inlineStr">
        <is>
          <t>Validar que el catálogo mostrado es el de PRG</t>
        </is>
      </c>
      <c r="E28" s="34" t="n"/>
      <c r="F28" s="53" t="inlineStr">
        <is>
          <t>Cumple</t>
        </is>
      </c>
      <c r="G28" s="53" t="n"/>
      <c r="H28" s="53" t="n"/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15" customHeight="1" s="29">
      <c r="A29" s="34" t="n">
        <v>16</v>
      </c>
      <c r="B29" s="34" t="n"/>
      <c r="C29" s="34" t="inlineStr">
        <is>
          <t>Cantidad 1 - Turno 1</t>
        </is>
      </c>
      <c r="D29" s="34" t="n"/>
      <c r="E29" s="34" t="n"/>
      <c r="F29" s="53" t="inlineStr">
        <is>
          <t>Cumple</t>
        </is>
      </c>
      <c r="G29" s="53" t="n"/>
      <c r="H29" s="53" t="n"/>
      <c r="I29" s="54" t="n"/>
      <c r="J29" s="54" t="n"/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  <row r="30" ht="15" customHeight="1" s="29">
      <c r="A30" s="34" t="n">
        <v>17</v>
      </c>
      <c r="B30" s="34" t="n">
        <v>13</v>
      </c>
      <c r="C30" s="34" t="inlineStr">
        <is>
          <t>Validar la jornada</t>
        </is>
      </c>
      <c r="D30" s="34" t="inlineStr">
        <is>
          <t>Debe mostrar 1 turno por 12 horas</t>
        </is>
      </c>
      <c r="E30" s="34" t="n"/>
      <c r="F30" s="53" t="inlineStr">
        <is>
          <t>No cumple</t>
        </is>
      </c>
      <c r="G30" s="53" t="n"/>
      <c r="H30" s="53" t="n"/>
      <c r="I30" s="54" t="n"/>
      <c r="J30" s="54" t="n"/>
      <c r="K30" s="54" t="n"/>
      <c r="L30" s="54" t="n"/>
      <c r="M30" s="54" t="n"/>
      <c r="N30" s="54" t="n"/>
      <c r="O30" s="55">
        <f>IF(M30&lt;&gt;"",M30,IF(K30&lt;&gt;"",K30,IF(I30&lt;&gt;"",I30,"")))</f>
        <v/>
      </c>
      <c r="P30" s="55">
        <f>IF(O30="","",IF(O30="PENDIENTE","Pendiente",IF(O30="NO EJECUTABLE","No ejecutable",IF(O30="VERIFICAR","Por verificar",IF(AND(F30="No cumple",O30="CUMPLE"),"Mejora",IF(AND(F30="No cumple",O30="PARCIAL"),"Mejora parcial",IF(AND(OR(F30="Cumple",F30="Sin ejecutar"),OR(O30="NO CUMPLE",O30="PARCIAL")),IF(F30="Cumple","Regresión","Falla nueva"),IF(AND(F30="No cumple",O30="NO CUMPLE"),"Sigue fallando","Se mantiene"))))))))</f>
        <v/>
      </c>
    </row>
    <row r="31" ht="23.85" customHeight="1" s="29">
      <c r="A31" s="34" t="n">
        <v>18</v>
      </c>
      <c r="B31" s="34" t="n">
        <v>13</v>
      </c>
      <c r="C31" s="34" t="inlineStr">
        <is>
          <t>Seleccionar una fecha de cita (debe ser un lunes) y de liberación</t>
        </is>
      </c>
      <c r="D31" s="34" t="n"/>
      <c r="E31" s="34" t="n"/>
      <c r="F31" s="53" t="inlineStr">
        <is>
          <t>Cumple</t>
        </is>
      </c>
      <c r="G31" s="53" t="n"/>
      <c r="H31" s="53" t="n"/>
      <c r="I31" s="54" t="n"/>
      <c r="J31" s="54" t="n"/>
      <c r="K31" s="54" t="n"/>
      <c r="L31" s="54" t="n"/>
      <c r="M31" s="54" t="n"/>
      <c r="N31" s="54" t="n"/>
      <c r="O31" s="55">
        <f>IF(M31&lt;&gt;"",M31,IF(K31&lt;&gt;"",K31,IF(I31&lt;&gt;"",I31,"")))</f>
        <v/>
      </c>
      <c r="P31" s="55">
        <f>IF(O31="","",IF(O31="PENDIENTE","Pendiente",IF(O31="NO EJECUTABLE","No ejecutable",IF(O31="VERIFICAR","Por verificar",IF(AND(F31="No cumple",O31="CUMPLE"),"Mejora",IF(AND(F31="No cumple",O31="PARCIAL"),"Mejora parcial",IF(AND(OR(F31="Cumple",F31="Sin ejecutar"),OR(O31="NO CUMPLE",O31="PARCIAL")),IF(F31="Cumple","Regresión","Falla nueva"),IF(AND(F31="No cumple",O31="NO CUMPLE"),"Sigue fallando","Se mantiene"))))))))</f>
        <v/>
      </c>
    </row>
    <row r="32" ht="15" customHeight="1" s="29">
      <c r="A32" s="34" t="n">
        <v>19</v>
      </c>
      <c r="B32" s="34" t="n">
        <v>13</v>
      </c>
      <c r="C32" s="34" t="inlineStr">
        <is>
          <t>Presentación por producto</t>
        </is>
      </c>
      <c r="D32" s="34" t="inlineStr">
        <is>
          <t>Validar que nos se muestran presentaciones</t>
        </is>
      </c>
      <c r="E32" s="34" t="n"/>
      <c r="F32" s="53" t="inlineStr">
        <is>
          <t>Cumple</t>
        </is>
      </c>
      <c r="G32" s="53" t="n"/>
      <c r="H32" s="53" t="n"/>
      <c r="I32" s="54" t="n"/>
      <c r="J32" s="54" t="n"/>
      <c r="K32" s="54" t="n"/>
      <c r="L32" s="54" t="n"/>
      <c r="M32" s="54" t="n"/>
      <c r="N32" s="54" t="n"/>
      <c r="O32" s="55">
        <f>IF(M32&lt;&gt;"",M32,IF(K32&lt;&gt;"",K32,IF(I32&lt;&gt;"",I32,"")))</f>
        <v/>
      </c>
      <c r="P32" s="55">
        <f>IF(O32="","",IF(O32="PENDIENTE","Pendiente",IF(O32="NO EJECUTABLE","No ejecutable",IF(O32="VERIFICAR","Por verificar",IF(AND(F32="No cumple",O32="CUMPLE"),"Mejora",IF(AND(F32="No cumple",O32="PARCIAL"),"Mejora parcial",IF(AND(OR(F32="Cumple",F32="Sin ejecutar"),OR(O32="NO CUMPLE",O32="PARCIAL")),IF(F32="Cumple","Regresión","Falla nueva"),IF(AND(F32="No cumple",O32="NO CUMPLE"),"Sigue fallando","Se mantiene"))))))))</f>
        <v/>
      </c>
    </row>
    <row r="33" ht="23.85" customHeight="1" s="29">
      <c r="A33" s="34" t="n">
        <v>20</v>
      </c>
      <c r="B33" s="34" t="n">
        <v>13</v>
      </c>
      <c r="C33" s="34" t="inlineStr">
        <is>
          <t>Fase del evento</t>
        </is>
      </c>
      <c r="D33" s="34" t="inlineStr">
        <is>
          <t>Por Default pone No Aplica debido a la UN</t>
        </is>
      </c>
      <c r="E33" s="34" t="n"/>
      <c r="F33" s="53" t="inlineStr">
        <is>
          <t>Cumple</t>
        </is>
      </c>
      <c r="G33" s="53" t="inlineStr">
        <is>
          <t>El campo dice "Ninguno" en vez de "No aplica"</t>
        </is>
      </c>
      <c r="H33" s="53" t="n"/>
      <c r="I33" s="54" t="n"/>
      <c r="J33" s="54" t="n"/>
      <c r="K33" s="54" t="n"/>
      <c r="L33" s="54" t="n"/>
      <c r="M33" s="54" t="n"/>
      <c r="N33" s="54" t="n"/>
      <c r="O33" s="55">
        <f>IF(M33&lt;&gt;"",M33,IF(K33&lt;&gt;"",K33,IF(I33&lt;&gt;"",I33,"")))</f>
        <v/>
      </c>
      <c r="P33" s="55">
        <f>IF(O33="","",IF(O33="PENDIENTE","Pendiente",IF(O33="NO EJECUTABLE","No ejecutable",IF(O33="VERIFICAR","Por verificar",IF(AND(F33="No cumple",O33="CUMPLE"),"Mejora",IF(AND(F33="No cumple",O33="PARCIAL"),"Mejora parcial",IF(AND(OR(F33="Cumple",F33="Sin ejecutar"),OR(O33="NO CUMPLE",O33="PARCIAL")),IF(F33="Cumple","Regresión","Falla nueva"),IF(AND(F33="No cumple",O33="NO CUMPLE"),"Sigue fallando","Se mantiene"))))))))</f>
        <v/>
      </c>
    </row>
    <row r="34" ht="23.85" customHeight="1" s="29">
      <c r="A34" s="34" t="n">
        <v>21</v>
      </c>
      <c r="B34" s="34" t="n"/>
      <c r="C34" s="34" t="inlineStr">
        <is>
          <t>En Bloque por Producto seleccionar Nuevo Bloque</t>
        </is>
      </c>
      <c r="D34" s="34" t="n"/>
      <c r="E34" s="34" t="n"/>
      <c r="F34" s="53" t="inlineStr">
        <is>
          <t>Cumple</t>
        </is>
      </c>
      <c r="G34" s="53" t="n"/>
      <c r="H34" s="53" t="n"/>
      <c r="I34" s="54" t="n"/>
      <c r="J34" s="54" t="n"/>
      <c r="K34" s="54" t="n"/>
      <c r="L34" s="54" t="n"/>
      <c r="M34" s="54" t="n"/>
      <c r="N34" s="54" t="n"/>
      <c r="O34" s="55">
        <f>IF(M34&lt;&gt;"",M34,IF(K34&lt;&gt;"",K34,IF(I34&lt;&gt;"",I34,"")))</f>
        <v/>
      </c>
      <c r="P34" s="55">
        <f>IF(O34="","",IF(O34="PENDIENTE","Pendiente",IF(O34="NO EJECUTABLE","No ejecutable",IF(O34="VERIFICAR","Por verificar",IF(AND(F34="No cumple",O34="CUMPLE"),"Mejora",IF(AND(F34="No cumple",O34="PARCIAL"),"Mejora parcial",IF(AND(OR(F34="Cumple",F34="Sin ejecutar"),OR(O34="NO CUMPLE",O34="PARCIAL")),IF(F34="Cumple","Regresión","Falla nueva"),IF(AND(F34="No cumple",O34="NO CUMPLE"),"Sigue fallando","Se mantiene"))))))))</f>
        <v/>
      </c>
    </row>
    <row r="35" ht="15" customHeight="1" s="29">
      <c r="A35" s="34" t="n">
        <v>22</v>
      </c>
      <c r="B35" s="34" t="n"/>
      <c r="C35" s="34" t="inlineStr">
        <is>
          <t>Agregar Registro</t>
        </is>
      </c>
      <c r="D35" s="34" t="n"/>
      <c r="E35" s="34" t="n"/>
      <c r="F35" s="53" t="inlineStr">
        <is>
          <t>Cumple</t>
        </is>
      </c>
      <c r="G35" s="53" t="n"/>
      <c r="H35" s="53" t="n"/>
      <c r="I35" s="54" t="n"/>
      <c r="J35" s="54" t="n"/>
      <c r="K35" s="54" t="n"/>
      <c r="L35" s="54" t="n"/>
      <c r="M35" s="54" t="n"/>
      <c r="N35" s="54" t="n"/>
      <c r="O35" s="55">
        <f>IF(M35&lt;&gt;"",M35,IF(K35&lt;&gt;"",K35,IF(I35&lt;&gt;"",I35,"")))</f>
        <v/>
      </c>
      <c r="P35" s="55">
        <f>IF(O35="","",IF(O35="PENDIENTE","Pendiente",IF(O35="NO EJECUTABLE","No ejecutable",IF(O35="VERIFICAR","Por verificar",IF(AND(F35="No cumple",O35="CUMPLE"),"Mejora",IF(AND(F35="No cumple",O35="PARCIAL"),"Mejora parcial",IF(AND(OR(F35="Cumple",F35="Sin ejecutar"),OR(O35="NO CUMPLE",O35="PARCIAL")),IF(F35="Cumple","Regresión","Falla nueva"),IF(AND(F35="No cumple",O35="NO CUMPLE"),"Sigue fallando","Se mantiene"))))))))</f>
        <v/>
      </c>
    </row>
    <row r="36" ht="35.05" customHeight="1" s="29">
      <c r="A36" s="34" t="n">
        <v>23</v>
      </c>
      <c r="B36" s="34" t="n"/>
      <c r="C36" s="34" t="inlineStr">
        <is>
          <t>Incluir 4 detalles de pedido adicionales para completar la semana con las mismas caraterísticas</t>
        </is>
      </c>
      <c r="D36" s="34" t="inlineStr">
        <is>
          <t>Confirmar que se crea todo en el mismo bloque</t>
        </is>
      </c>
      <c r="E36" s="34" t="n"/>
      <c r="F36" s="53" t="inlineStr">
        <is>
          <t>Cumple</t>
        </is>
      </c>
      <c r="G36" s="53" t="n"/>
      <c r="H36" s="53" t="n"/>
      <c r="I36" s="54" t="n"/>
      <c r="J36" s="54" t="n"/>
      <c r="K36" s="54" t="n"/>
      <c r="L36" s="54" t="n"/>
      <c r="M36" s="54" t="n"/>
      <c r="N36" s="54" t="n"/>
      <c r="O36" s="55">
        <f>IF(M36&lt;&gt;"",M36,IF(K36&lt;&gt;"",K36,IF(I36&lt;&gt;"",I36,"")))</f>
        <v/>
      </c>
      <c r="P36" s="55">
        <f>IF(O36="","",IF(O36="PENDIENTE","Pendiente",IF(O36="NO EJECUTABLE","No ejecutable",IF(O36="VERIFICAR","Por verificar",IF(AND(F36="No cumple",O36="CUMPLE"),"Mejora",IF(AND(F36="No cumple",O36="PARCIAL"),"Mejora parcial",IF(AND(OR(F36="Cumple",F36="Sin ejecutar"),OR(O36="NO CUMPLE",O36="PARCIAL")),IF(F36="Cumple","Regresión","Falla nueva"),IF(AND(F36="No cumple",O36="NO CUMPLE"),"Sigue fallando","Se mantiene"))))))))</f>
        <v/>
      </c>
    </row>
    <row r="37" ht="23.85" customHeight="1" s="29">
      <c r="A37" s="34" t="n">
        <v>24</v>
      </c>
      <c r="B37" s="34" t="n"/>
      <c r="C37" s="34" t="inlineStr">
        <is>
          <t>Será necesario liberar el pedido y que alguien confirme el bloque para el escenario</t>
        </is>
      </c>
      <c r="D37" s="34" t="n"/>
      <c r="E37" s="34" t="n"/>
      <c r="F37" s="53" t="inlineStr">
        <is>
          <t>Sin ejecutar</t>
        </is>
      </c>
      <c r="G37" s="53" t="n"/>
      <c r="H37" s="53" t="n"/>
      <c r="I37" s="54" t="n"/>
      <c r="J37" s="54" t="n"/>
      <c r="K37" s="54" t="n"/>
      <c r="L37" s="54" t="n"/>
      <c r="M37" s="54" t="n"/>
      <c r="N37" s="54" t="n"/>
      <c r="O37" s="55">
        <f>IF(M37&lt;&gt;"",M37,IF(K37&lt;&gt;"",K37,IF(I37&lt;&gt;"",I37,"")))</f>
        <v/>
      </c>
      <c r="P37" s="55">
        <f>IF(O37="","",IF(O37="PENDIENTE","Pendiente",IF(O37="NO EJECUTABLE","No ejecutable",IF(O37="VERIFICAR","Por verificar",IF(AND(F37="No cumple",O37="CUMPLE"),"Mejora",IF(AND(F37="No cumple",O37="PARCIAL"),"Mejora parcial",IF(AND(OR(F37="Cumple",F37="Sin ejecutar"),OR(O37="NO CUMPLE",O37="PARCIAL")),IF(F37="Cumple","Regresión","Falla nueva"),IF(AND(F37="No cumple",O37="NO CUMPLE"),"Sigue fallando","Se mantiene"))))))))</f>
        <v/>
      </c>
    </row>
    <row r="38" ht="23.85" customHeight="1" s="29">
      <c r="A38" s="34" t="n">
        <v>25</v>
      </c>
      <c r="B38" s="34" t="n"/>
      <c r="C38" s="34" t="inlineStr">
        <is>
          <t>Cancelar el detalle de pedido del miércoles</t>
        </is>
      </c>
      <c r="D38" s="34" t="inlineStr">
        <is>
          <t>El bloque sigue existiendo, solo que ahora tiene 4 días (lunes, martes, jueves y viernes)</t>
        </is>
      </c>
      <c r="E38" s="34" t="n"/>
      <c r="F38" s="53" t="inlineStr">
        <is>
          <t>Sin ejecutar</t>
        </is>
      </c>
      <c r="G38" s="53" t="n"/>
      <c r="H38" s="53" t="n"/>
      <c r="I38" s="54" t="n"/>
      <c r="J38" s="54" t="n"/>
      <c r="K38" s="54" t="n"/>
      <c r="L38" s="54" t="n"/>
      <c r="M38" s="54" t="n"/>
      <c r="N38" s="54" t="n"/>
      <c r="O38" s="55">
        <f>IF(M38&lt;&gt;"",M38,IF(K38&lt;&gt;"",K38,IF(I38&lt;&gt;"",I38,"")))</f>
        <v/>
      </c>
      <c r="P38" s="55">
        <f>IF(O38="","",IF(O38="PENDIENTE","Pendiente",IF(O38="NO EJECUTABLE","No ejecutable",IF(O38="VERIFICAR","Por verificar",IF(AND(F38="No cumple",O38="CUMPLE"),"Mejora",IF(AND(F38="No cumple",O38="PARCIAL"),"Mejora parcial",IF(AND(OR(F38="Cumple",F38="Sin ejecutar"),OR(O38="NO CUMPLE",O38="PARCIAL")),IF(F38="Cumple","Regresión","Falla nueva"),IF(AND(F38="No cumple",O38="NO CUMPLE"),"Sigue fallando","Se mantiene"))))))))</f>
        <v/>
      </c>
    </row>
    <row r="39" ht="15" customHeight="1" s="29">
      <c r="A39" s="34" t="n">
        <v>26</v>
      </c>
      <c r="B39" s="34" t="n">
        <v>1</v>
      </c>
      <c r="C39" s="34" t="inlineStr">
        <is>
          <t>Crear un nuevo pedido</t>
        </is>
      </c>
      <c r="D39" s="34" t="n"/>
      <c r="E39" s="34" t="n"/>
      <c r="F39" s="53" t="inlineStr">
        <is>
          <t>Cumple</t>
        </is>
      </c>
      <c r="G39" s="53" t="n"/>
      <c r="H39" s="53" t="n"/>
      <c r="I39" s="54" t="n"/>
      <c r="J39" s="54" t="n"/>
      <c r="K39" s="54" t="n"/>
      <c r="L39" s="54" t="n"/>
      <c r="M39" s="54" t="n"/>
      <c r="N39" s="54" t="n"/>
      <c r="O39" s="55">
        <f>IF(M39&lt;&gt;"",M39,IF(K39&lt;&gt;"",K39,IF(I39&lt;&gt;"",I39,"")))</f>
        <v/>
      </c>
      <c r="P39" s="55">
        <f>IF(O39="","",IF(O39="PENDIENTE","Pendiente",IF(O39="NO EJECUTABLE","No ejecutable",IF(O39="VERIFICAR","Por verificar",IF(AND(F39="No cumple",O39="CUMPLE"),"Mejora",IF(AND(F39="No cumple",O39="PARCIAL"),"Mejora parcial",IF(AND(OR(F39="Cumple",F39="Sin ejecutar"),OR(O39="NO CUMPLE",O39="PARCIAL")),IF(F39="Cumple","Regresión","Falla nueva"),IF(AND(F39="No cumple",O39="NO CUMPLE"),"Sigue fallando","Se mantiene"))))))))</f>
        <v/>
      </c>
    </row>
    <row r="40" ht="15" customHeight="1" s="29">
      <c r="A40" s="34" t="n">
        <v>27</v>
      </c>
      <c r="B40" s="34" t="n">
        <v>2</v>
      </c>
      <c r="C40" s="34" t="inlineStr">
        <is>
          <t>Seleccionar cliente Ocesa</t>
        </is>
      </c>
      <c r="D40" s="34" t="n"/>
      <c r="E40" s="34" t="n"/>
      <c r="F40" s="53" t="inlineStr">
        <is>
          <t>Cumple</t>
        </is>
      </c>
      <c r="G40" s="53" t="n"/>
      <c r="H40" s="53" t="n"/>
      <c r="I40" s="54" t="n"/>
      <c r="J40" s="54" t="n"/>
      <c r="K40" s="54" t="n"/>
      <c r="L40" s="54" t="n"/>
      <c r="M40" s="54" t="n"/>
      <c r="N40" s="54" t="n"/>
      <c r="O40" s="55">
        <f>IF(M40&lt;&gt;"",M40,IF(K40&lt;&gt;"",K40,IF(I40&lt;&gt;"",I40,"")))</f>
        <v/>
      </c>
      <c r="P40" s="55">
        <f>IF(O40="","",IF(O40="PENDIENTE","Pendiente",IF(O40="NO EJECUTABLE","No ejecutable",IF(O40="VERIFICAR","Por verificar",IF(AND(F40="No cumple",O40="CUMPLE"),"Mejora",IF(AND(F40="No cumple",O40="PARCIAL"),"Mejora parcial",IF(AND(OR(F40="Cumple",F40="Sin ejecutar"),OR(O40="NO CUMPLE",O40="PARCIAL")),IF(F40="Cumple","Regresión","Falla nueva"),IF(AND(F40="No cumple",O40="NO CUMPLE"),"Sigue fallando","Se mantiene"))))))))</f>
        <v/>
      </c>
    </row>
    <row r="41" ht="23.85" customHeight="1" s="29">
      <c r="A41" s="34" t="n">
        <v>28</v>
      </c>
      <c r="B41" s="34" t="n">
        <v>3</v>
      </c>
      <c r="C41" s="34" t="inlineStr">
        <is>
          <t>Validar lista de contactos</t>
        </is>
      </c>
      <c r="D41" s="34" t="inlineStr">
        <is>
          <t>Los contactos mostrados deben pertenecer al cliente Ocesa</t>
        </is>
      </c>
      <c r="E41" s="34" t="n"/>
      <c r="F41" s="53" t="inlineStr">
        <is>
          <t>Cumple</t>
        </is>
      </c>
      <c r="G41" s="53" t="n"/>
      <c r="H41" s="53" t="n"/>
      <c r="I41" s="54" t="n"/>
      <c r="J41" s="54" t="n"/>
      <c r="K41" s="54" t="n"/>
      <c r="L41" s="54" t="n"/>
      <c r="M41" s="54" t="n"/>
      <c r="N41" s="54" t="n"/>
      <c r="O41" s="55">
        <f>IF(M41&lt;&gt;"",M41,IF(K41&lt;&gt;"",K41,IF(I41&lt;&gt;"",I41,"")))</f>
        <v/>
      </c>
      <c r="P41" s="55">
        <f>IF(O41="","",IF(O41="PENDIENTE","Pendiente",IF(O41="NO EJECUTABLE","No ejecutable",IF(O41="VERIFICAR","Por verificar",IF(AND(F41="No cumple",O41="CUMPLE"),"Mejora",IF(AND(F41="No cumple",O41="PARCIAL"),"Mejora parcial",IF(AND(OR(F41="Cumple",F41="Sin ejecutar"),OR(O41="NO CUMPLE",O41="PARCIAL")),IF(F41="Cumple","Regresión","Falla nueva"),IF(AND(F41="No cumple",O41="NO CUMPLE"),"Sigue fallando","Se mantiene"))))))))</f>
        <v/>
      </c>
    </row>
    <row r="42" ht="15" customHeight="1" s="29">
      <c r="A42" s="34" t="n">
        <v>29</v>
      </c>
      <c r="B42" s="34" t="n">
        <v>4</v>
      </c>
      <c r="C42" s="34" t="inlineStr">
        <is>
          <t>Seleccionar un evento</t>
        </is>
      </c>
      <c r="D42" s="34" t="n"/>
      <c r="E42" s="34" t="n"/>
      <c r="F42" s="53" t="inlineStr">
        <is>
          <t>Cumple</t>
        </is>
      </c>
      <c r="G42" s="53" t="n"/>
      <c r="H42" s="53" t="n"/>
      <c r="I42" s="54" t="n"/>
      <c r="J42" s="54" t="n"/>
      <c r="K42" s="54" t="n"/>
      <c r="L42" s="54" t="n"/>
      <c r="M42" s="54" t="n"/>
      <c r="N42" s="54" t="n"/>
      <c r="O42" s="55">
        <f>IF(M42&lt;&gt;"",M42,IF(K42&lt;&gt;"",K42,IF(I42&lt;&gt;"",I42,"")))</f>
        <v/>
      </c>
      <c r="P42" s="55">
        <f>IF(O42="","",IF(O42="PENDIENTE","Pendiente",IF(O42="NO EJECUTABLE","No ejecutable",IF(O42="VERIFICAR","Por verificar",IF(AND(F42="No cumple",O42="CUMPLE"),"Mejora",IF(AND(F42="No cumple",O42="PARCIAL"),"Mejora parcial",IF(AND(OR(F42="Cumple",F42="Sin ejecutar"),OR(O42="NO CUMPLE",O42="PARCIAL")),IF(F42="Cumple","Regresión","Falla nueva"),IF(AND(F42="No cumple",O42="NO CUMPLE"),"Sigue fallando","Se mantiene"))))))))</f>
        <v/>
      </c>
    </row>
    <row r="43" ht="23.85" customHeight="1" s="29">
      <c r="A43" s="34" t="n">
        <v>30</v>
      </c>
      <c r="B43" s="34" t="n">
        <v>5</v>
      </c>
      <c r="C43" s="34" t="inlineStr">
        <is>
          <t>Seleccionar UN PRG</t>
        </is>
      </c>
      <c r="D43" s="34" t="inlineStr">
        <is>
          <t>El sistema despliega los PEPS de la UN de seguridad, y la sociedad pagadora</t>
        </is>
      </c>
      <c r="E43" s="37" t="inlineStr">
        <is>
          <t>Esperado copiado ('UN de seguridad').</t>
        </is>
      </c>
      <c r="F43" s="53" t="inlineStr">
        <is>
          <t>Cumple</t>
        </is>
      </c>
      <c r="G43" s="53" t="n"/>
      <c r="H43" s="53" t="n"/>
      <c r="I43" s="54" t="n"/>
      <c r="J43" s="54" t="n"/>
      <c r="K43" s="54" t="n"/>
      <c r="L43" s="54" t="n"/>
      <c r="M43" s="54" t="n"/>
      <c r="N43" s="54" t="n"/>
      <c r="O43" s="55">
        <f>IF(M43&lt;&gt;"",M43,IF(K43&lt;&gt;"",K43,IF(I43&lt;&gt;"",I43,"")))</f>
        <v/>
      </c>
      <c r="P43" s="55">
        <f>IF(O43="","",IF(O43="PENDIENTE","Pendiente",IF(O43="NO EJECUTABLE","No ejecutable",IF(O43="VERIFICAR","Por verificar",IF(AND(F43="No cumple",O43="CUMPLE"),"Mejora",IF(AND(F43="No cumple",O43="PARCIAL"),"Mejora parcial",IF(AND(OR(F43="Cumple",F43="Sin ejecutar"),OR(O43="NO CUMPLE",O43="PARCIAL")),IF(F43="Cumple","Regresión","Falla nueva"),IF(AND(F43="No cumple",O43="NO CUMPLE"),"Sigue fallando","Se mantiene"))))))))</f>
        <v/>
      </c>
    </row>
    <row r="44" ht="23.85" customHeight="1" s="29">
      <c r="A44" s="34" t="n">
        <v>31</v>
      </c>
      <c r="B44" s="34" t="n">
        <v>6</v>
      </c>
      <c r="C44" s="34" t="inlineStr">
        <is>
          <t>Seleccionar un PEP Temporal (Se identifican con Z-PEP)</t>
        </is>
      </c>
      <c r="D44" s="34" t="inlineStr">
        <is>
          <t>Validar que el sistema por defecto no trae lugar de cita, ni inmueble</t>
        </is>
      </c>
      <c r="E44" s="34" t="n"/>
      <c r="F44" s="53" t="inlineStr">
        <is>
          <t>Cumple</t>
        </is>
      </c>
      <c r="G44" s="53" t="n"/>
      <c r="H44" s="53" t="n"/>
      <c r="I44" s="54" t="n"/>
      <c r="J44" s="54" t="n"/>
      <c r="K44" s="54" t="n"/>
      <c r="L44" s="54" t="n"/>
      <c r="M44" s="54" t="n"/>
      <c r="N44" s="54" t="n"/>
      <c r="O44" s="55">
        <f>IF(M44&lt;&gt;"",M44,IF(K44&lt;&gt;"",K44,IF(I44&lt;&gt;"",I44,"")))</f>
        <v/>
      </c>
      <c r="P44" s="55">
        <f>IF(O44="","",IF(O44="PENDIENTE","Pendiente",IF(O44="NO EJECUTABLE","No ejecutable",IF(O44="VERIFICAR","Por verificar",IF(AND(F44="No cumple",O44="CUMPLE"),"Mejora",IF(AND(F44="No cumple",O44="PARCIAL"),"Mejora parcial",IF(AND(OR(F44="Cumple",F44="Sin ejecutar"),OR(O44="NO CUMPLE",O44="PARCIAL")),IF(F44="Cumple","Regresión","Falla nueva"),IF(AND(F44="No cumple",O44="NO CUMPLE"),"Sigue fallando","Se mantiene"))))))))</f>
        <v/>
      </c>
    </row>
    <row r="45" ht="15" customHeight="1" s="29">
      <c r="A45" s="34" t="n">
        <v>32</v>
      </c>
      <c r="B45" s="34" t="n">
        <v>7</v>
      </c>
      <c r="C45" s="34" t="inlineStr">
        <is>
          <t>Seleccionar un Lugar de Cita</t>
        </is>
      </c>
      <c r="D45" s="34" t="n"/>
      <c r="E45" s="34" t="n"/>
      <c r="F45" s="53" t="inlineStr">
        <is>
          <t>Cumple</t>
        </is>
      </c>
      <c r="G45" s="53" t="n"/>
      <c r="H45" s="53" t="n"/>
      <c r="I45" s="54" t="n"/>
      <c r="J45" s="54" t="n"/>
      <c r="K45" s="54" t="n"/>
      <c r="L45" s="54" t="n"/>
      <c r="M45" s="54" t="n"/>
      <c r="N45" s="54" t="n"/>
      <c r="O45" s="55">
        <f>IF(M45&lt;&gt;"",M45,IF(K45&lt;&gt;"",K45,IF(I45&lt;&gt;"",I45,"")))</f>
        <v/>
      </c>
      <c r="P45" s="55">
        <f>IF(O45="","",IF(O45="PENDIENTE","Pendiente",IF(O45="NO EJECUTABLE","No ejecutable",IF(O45="VERIFICAR","Por verificar",IF(AND(F45="No cumple",O45="CUMPLE"),"Mejora",IF(AND(F45="No cumple",O45="PARCIAL"),"Mejora parcial",IF(AND(OR(F45="Cumple",F45="Sin ejecutar"),OR(O45="NO CUMPLE",O45="PARCIAL")),IF(F45="Cumple","Regresión","Falla nueva"),IF(AND(F45="No cumple",O45="NO CUMPLE"),"Sigue fallando","Se mantiene"))))))))</f>
        <v/>
      </c>
    </row>
    <row r="46" ht="23.85" customHeight="1" s="29">
      <c r="A46" s="34" t="n">
        <v>33</v>
      </c>
      <c r="B46" s="34" t="n">
        <v>8</v>
      </c>
      <c r="C46" s="34" t="inlineStr">
        <is>
          <t>Validar tipo de movimiento</t>
        </is>
      </c>
      <c r="D46" s="34" t="inlineStr">
        <is>
          <t>El sistema debe mostrar dos tipos de movimiento (Pedido y Servicio Interno)</t>
        </is>
      </c>
      <c r="E46" s="34" t="n"/>
      <c r="F46" s="53" t="inlineStr">
        <is>
          <t>Cumple</t>
        </is>
      </c>
      <c r="G46" s="53" t="n"/>
      <c r="H46" s="53" t="n"/>
      <c r="I46" s="54" t="n"/>
      <c r="J46" s="54" t="n"/>
      <c r="K46" s="54" t="n"/>
      <c r="L46" s="54" t="n"/>
      <c r="M46" s="54" t="n"/>
      <c r="N46" s="54" t="n"/>
      <c r="O46" s="55">
        <f>IF(M46&lt;&gt;"",M46,IF(K46&lt;&gt;"",K46,IF(I46&lt;&gt;"",I46,"")))</f>
        <v/>
      </c>
      <c r="P46" s="55">
        <f>IF(O46="","",IF(O46="PENDIENTE","Pendiente",IF(O46="NO EJECUTABLE","No ejecutable",IF(O46="VERIFICAR","Por verificar",IF(AND(F46="No cumple",O46="CUMPLE"),"Mejora",IF(AND(F46="No cumple",O46="PARCIAL"),"Mejora parcial",IF(AND(OR(F46="Cumple",F46="Sin ejecutar"),OR(O46="NO CUMPLE",O46="PARCIAL")),IF(F46="Cumple","Regresión","Falla nueva"),IF(AND(F46="No cumple",O46="NO CUMPLE"),"Sigue fallando","Se mantiene"))))))))</f>
        <v/>
      </c>
    </row>
    <row r="47" ht="23.85" customHeight="1" s="29">
      <c r="A47" s="34" t="n">
        <v>34</v>
      </c>
      <c r="B47" s="34" t="n">
        <v>9</v>
      </c>
      <c r="C47" s="34" t="inlineStr">
        <is>
          <t>Seleccionar Tipo de movimiento Servicio Interno</t>
        </is>
      </c>
      <c r="D47" s="34" t="inlineStr">
        <is>
          <t>EL tipo Pedido se factura (validar posteriormente)</t>
        </is>
      </c>
      <c r="E47" s="37" t="inlineStr">
        <is>
          <t>Servicio Interno con esperado de Pedido.</t>
        </is>
      </c>
      <c r="F47" s="53" t="inlineStr">
        <is>
          <t>Cumple</t>
        </is>
      </c>
      <c r="G47" s="53" t="n"/>
      <c r="H47" s="53" t="n"/>
      <c r="I47" s="54" t="n"/>
      <c r="J47" s="54" t="n"/>
      <c r="K47" s="54" t="n"/>
      <c r="L47" s="54" t="n"/>
      <c r="M47" s="54" t="n"/>
      <c r="N47" s="54" t="n"/>
      <c r="O47" s="55">
        <f>IF(M47&lt;&gt;"",M47,IF(K47&lt;&gt;"",K47,IF(I47&lt;&gt;"",I47,"")))</f>
        <v/>
      </c>
      <c r="P47" s="55">
        <f>IF(O47="","",IF(O47="PENDIENTE","Pendiente",IF(O47="NO EJECUTABLE","No ejecutable",IF(O47="VERIFICAR","Por verificar",IF(AND(F47="No cumple",O47="CUMPLE"),"Mejora",IF(AND(F47="No cumple",O47="PARCIAL"),"Mejora parcial",IF(AND(OR(F47="Cumple",F47="Sin ejecutar"),OR(O47="NO CUMPLE",O47="PARCIAL")),IF(F47="Cumple","Regresión","Falla nueva"),IF(AND(F47="No cumple",O47="NO CUMPLE"),"Sigue fallando","Se mantiene"))))))))</f>
        <v/>
      </c>
    </row>
    <row r="48" ht="23.85" customHeight="1" s="29">
      <c r="A48" s="34" t="n">
        <v>35</v>
      </c>
      <c r="B48" s="34" t="n">
        <v>10</v>
      </c>
      <c r="C48" s="34" t="inlineStr">
        <is>
          <t>En complejidad indicar que No Aplica</t>
        </is>
      </c>
      <c r="D48" s="34" t="inlineStr">
        <is>
          <t>Validar que para esta UN no aplica Complejidad (sólo muestra esa opción)</t>
        </is>
      </c>
      <c r="E48" s="34" t="n"/>
      <c r="F48" s="53" t="inlineStr">
        <is>
          <t>Cumple</t>
        </is>
      </c>
      <c r="G48" s="53" t="n"/>
      <c r="H48" s="53" t="n"/>
      <c r="I48" s="54" t="n"/>
      <c r="J48" s="54" t="n"/>
      <c r="K48" s="54" t="n"/>
      <c r="L48" s="54" t="n"/>
      <c r="M48" s="54" t="n"/>
      <c r="N48" s="54" t="n"/>
      <c r="O48" s="55">
        <f>IF(M48&lt;&gt;"",M48,IF(K48&lt;&gt;"",K48,IF(I48&lt;&gt;"",I48,"")))</f>
        <v/>
      </c>
      <c r="P48" s="55">
        <f>IF(O48="","",IF(O48="PENDIENTE","Pendiente",IF(O48="NO EJECUTABLE","No ejecutable",IF(O48="VERIFICAR","Por verificar",IF(AND(F48="No cumple",O48="CUMPLE"),"Mejora",IF(AND(F48="No cumple",O48="PARCIAL"),"Mejora parcial",IF(AND(OR(F48="Cumple",F48="Sin ejecutar"),OR(O48="NO CUMPLE",O48="PARCIAL")),IF(F48="Cumple","Regresión","Falla nueva"),IF(AND(F48="No cumple",O48="NO CUMPLE"),"Sigue fallando","Se mantiene"))))))))</f>
        <v/>
      </c>
    </row>
    <row r="49" ht="15" customHeight="1" s="29">
      <c r="A49" s="34" t="n">
        <v>36</v>
      </c>
      <c r="B49" s="34" t="n">
        <v>11</v>
      </c>
      <c r="C49" s="34" t="inlineStr">
        <is>
          <t>En el campo Permitir Cancelar, seleccionar NO</t>
        </is>
      </c>
      <c r="D49" s="34" t="n"/>
      <c r="E49" s="34" t="n"/>
      <c r="F49" s="53" t="inlineStr">
        <is>
          <t>Cumple</t>
        </is>
      </c>
      <c r="G49" s="53" t="n"/>
      <c r="H49" s="53" t="n"/>
      <c r="I49" s="54" t="n"/>
      <c r="J49" s="54" t="n"/>
      <c r="K49" s="54" t="n"/>
      <c r="L49" s="54" t="n"/>
      <c r="M49" s="54" t="n"/>
      <c r="N49" s="54" t="n"/>
      <c r="O49" s="55">
        <f>IF(M49&lt;&gt;"",M49,IF(K49&lt;&gt;"",K49,IF(I49&lt;&gt;"",I49,"")))</f>
        <v/>
      </c>
      <c r="P49" s="55">
        <f>IF(O49="","",IF(O49="PENDIENTE","Pendiente",IF(O49="NO EJECUTABLE","No ejecutable",IF(O49="VERIFICAR","Por verificar",IF(AND(F49="No cumple",O49="CUMPLE"),"Mejora",IF(AND(F49="No cumple",O49="PARCIAL"),"Mejora parcial",IF(AND(OR(F49="Cumple",F49="Sin ejecutar"),OR(O49="NO CUMPLE",O49="PARCIAL")),IF(F49="Cumple","Regresión","Falla nueva"),IF(AND(F49="No cumple",O49="NO CUMPLE"),"Sigue fallando","Se mantiene"))))))))</f>
        <v/>
      </c>
    </row>
    <row r="50" ht="23.85" customHeight="1" s="29">
      <c r="A50" s="34" t="n">
        <v>37</v>
      </c>
      <c r="B50" s="34" t="n">
        <v>12</v>
      </c>
      <c r="C50" s="34" t="inlineStr">
        <is>
          <t>Pulsar Aceptar</t>
        </is>
      </c>
      <c r="D50" s="34" t="inlineStr">
        <is>
          <t>El sistema genera un número consecutivo de pedido.</t>
        </is>
      </c>
      <c r="E50" s="34" t="n"/>
      <c r="F50" s="53" t="inlineStr">
        <is>
          <t>Cumple</t>
        </is>
      </c>
      <c r="G50" s="53" t="n"/>
      <c r="H50" s="53" t="n"/>
      <c r="I50" s="54" t="n"/>
      <c r="J50" s="54" t="n"/>
      <c r="K50" s="54" t="n"/>
      <c r="L50" s="54" t="n"/>
      <c r="M50" s="54" t="n"/>
      <c r="N50" s="54" t="n"/>
      <c r="O50" s="55">
        <f>IF(M50&lt;&gt;"",M50,IF(K50&lt;&gt;"",K50,IF(I50&lt;&gt;"",I50,"")))</f>
        <v/>
      </c>
      <c r="P50" s="55">
        <f>IF(O50="","",IF(O50="PENDIENTE","Pendiente",IF(O50="NO EJECUTABLE","No ejecutable",IF(O50="VERIFICAR","Por verificar",IF(AND(F50="No cumple",O50="CUMPLE"),"Mejora",IF(AND(F50="No cumple",O50="PARCIAL"),"Mejora parcial",IF(AND(OR(F50="Cumple",F50="Sin ejecutar"),OR(O50="NO CUMPLE",O50="PARCIAL")),IF(F50="Cumple","Regresión","Falla nueva"),IF(AND(F50="No cumple",O50="NO CUMPLE"),"Sigue fallando","Se mantiene"))))))))</f>
        <v/>
      </c>
    </row>
    <row r="51" ht="15" customHeight="1" s="29">
      <c r="A51" s="56" t="n"/>
      <c r="B51" s="56" t="n"/>
      <c r="C51" s="57" t="inlineStr">
        <is>
          <t>Pedido Detalle</t>
        </is>
      </c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</row>
    <row r="52" ht="23.85" customHeight="1" s="29">
      <c r="A52" s="34" t="n">
        <v>38</v>
      </c>
      <c r="B52" s="34" t="n">
        <v>13</v>
      </c>
      <c r="C52" s="34" t="inlineStr">
        <is>
          <t>Tipo de personal</t>
        </is>
      </c>
      <c r="D52" s="34" t="inlineStr">
        <is>
          <t>Validad que sólo se muestren Operativos al no tener complejidad</t>
        </is>
      </c>
      <c r="E52" s="34" t="n"/>
      <c r="F52" s="53" t="inlineStr">
        <is>
          <t>Cumple</t>
        </is>
      </c>
      <c r="G52" s="53" t="n"/>
      <c r="H52" s="53" t="n"/>
      <c r="I52" s="54" t="n"/>
      <c r="J52" s="54" t="n"/>
      <c r="K52" s="54" t="n"/>
      <c r="L52" s="54" t="n"/>
      <c r="M52" s="54" t="n"/>
      <c r="N52" s="54" t="n"/>
      <c r="O52" s="55">
        <f>IF(M52&lt;&gt;"",M52,IF(K52&lt;&gt;"",K52,IF(I52&lt;&gt;"",I52,"")))</f>
        <v/>
      </c>
      <c r="P52" s="55">
        <f>IF(O52="","",IF(O52="PENDIENTE","Pendiente",IF(O52="NO EJECUTABLE","No ejecutable",IF(O52="VERIFICAR","Por verificar",IF(AND(F52="No cumple",O52="CUMPLE"),"Mejora",IF(AND(F52="No cumple",O52="PARCIAL"),"Mejora parcial",IF(AND(OR(F52="Cumple",F52="Sin ejecutar"),OR(O52="NO CUMPLE",O52="PARCIAL")),IF(F52="Cumple","Regresión","Falla nueva"),IF(AND(F52="No cumple",O52="NO CUMPLE"),"Sigue fallando","Se mantiene"))))))))</f>
        <v/>
      </c>
    </row>
    <row r="53" ht="15" customHeight="1" s="29">
      <c r="A53" s="34" t="n">
        <v>39</v>
      </c>
      <c r="B53" s="34" t="n">
        <v>14</v>
      </c>
      <c r="C53" s="34" t="inlineStr">
        <is>
          <t>Seleccionar Operativo</t>
        </is>
      </c>
      <c r="D53" s="34" t="n"/>
      <c r="E53" s="34" t="n"/>
      <c r="F53" s="53" t="inlineStr">
        <is>
          <t>Cumple</t>
        </is>
      </c>
      <c r="G53" s="53" t="n"/>
      <c r="H53" s="53" t="n"/>
      <c r="I53" s="54" t="n"/>
      <c r="J53" s="54" t="n"/>
      <c r="K53" s="54" t="n"/>
      <c r="L53" s="54" t="n"/>
      <c r="M53" s="54" t="n"/>
      <c r="N53" s="54" t="n"/>
      <c r="O53" s="55">
        <f>IF(M53&lt;&gt;"",M53,IF(K53&lt;&gt;"",K53,IF(I53&lt;&gt;"",I53,"")))</f>
        <v/>
      </c>
      <c r="P53" s="55">
        <f>IF(O53="","",IF(O53="PENDIENTE","Pendiente",IF(O53="NO EJECUTABLE","No ejecutable",IF(O53="VERIFICAR","Por verificar",IF(AND(F53="No cumple",O53="CUMPLE"),"Mejora",IF(AND(F53="No cumple",O53="PARCIAL"),"Mejora parcial",IF(AND(OR(F53="Cumple",F53="Sin ejecutar"),OR(O53="NO CUMPLE",O53="PARCIAL")),IF(F53="Cumple","Regresión","Falla nueva"),IF(AND(F53="No cumple",O53="NO CUMPLE"),"Sigue fallando","Se mantiene"))))))))</f>
        <v/>
      </c>
    </row>
    <row r="54" ht="15" customHeight="1" s="29">
      <c r="A54" s="34" t="n">
        <v>40</v>
      </c>
      <c r="B54" s="34" t="n">
        <v>15</v>
      </c>
      <c r="C54" s="34" t="inlineStr">
        <is>
          <t>Producto: Riger</t>
        </is>
      </c>
      <c r="D54" s="34" t="inlineStr">
        <is>
          <t>Validar que el catálogo mostrado es el de PRG</t>
        </is>
      </c>
      <c r="E54" s="34" t="n"/>
      <c r="F54" s="53" t="inlineStr">
        <is>
          <t>Cumple</t>
        </is>
      </c>
      <c r="G54" s="53" t="n"/>
      <c r="H54" s="53" t="n"/>
      <c r="I54" s="54" t="n"/>
      <c r="J54" s="54" t="n"/>
      <c r="K54" s="54" t="n"/>
      <c r="L54" s="54" t="n"/>
      <c r="M54" s="54" t="n"/>
      <c r="N54" s="54" t="n"/>
      <c r="O54" s="55">
        <f>IF(M54&lt;&gt;"",M54,IF(K54&lt;&gt;"",K54,IF(I54&lt;&gt;"",I54,"")))</f>
        <v/>
      </c>
      <c r="P54" s="55">
        <f>IF(O54="","",IF(O54="PENDIENTE","Pendiente",IF(O54="NO EJECUTABLE","No ejecutable",IF(O54="VERIFICAR","Por verificar",IF(AND(F54="No cumple",O54="CUMPLE"),"Mejora",IF(AND(F54="No cumple",O54="PARCIAL"),"Mejora parcial",IF(AND(OR(F54="Cumple",F54="Sin ejecutar"),OR(O54="NO CUMPLE",O54="PARCIAL")),IF(F54="Cumple","Regresión","Falla nueva"),IF(AND(F54="No cumple",O54="NO CUMPLE"),"Sigue fallando","Se mantiene"))))))))</f>
        <v/>
      </c>
    </row>
    <row r="55" ht="15" customHeight="1" s="29">
      <c r="A55" s="34" t="n">
        <v>41</v>
      </c>
      <c r="B55" s="34" t="n">
        <v>16</v>
      </c>
      <c r="C55" s="34" t="inlineStr">
        <is>
          <t>Cantidad 1 - Turno 1</t>
        </is>
      </c>
      <c r="D55" s="34" t="n"/>
      <c r="E55" s="34" t="n"/>
      <c r="F55" s="53" t="inlineStr">
        <is>
          <t>Cumple</t>
        </is>
      </c>
      <c r="G55" s="53" t="n"/>
      <c r="H55" s="53" t="n"/>
      <c r="I55" s="54" t="n"/>
      <c r="J55" s="54" t="n"/>
      <c r="K55" s="54" t="n"/>
      <c r="L55" s="54" t="n"/>
      <c r="M55" s="54" t="n"/>
      <c r="N55" s="54" t="n"/>
      <c r="O55" s="55">
        <f>IF(M55&lt;&gt;"",M55,IF(K55&lt;&gt;"",K55,IF(I55&lt;&gt;"",I55,"")))</f>
        <v/>
      </c>
      <c r="P55" s="55">
        <f>IF(O55="","",IF(O55="PENDIENTE","Pendiente",IF(O55="NO EJECUTABLE","No ejecutable",IF(O55="VERIFICAR","Por verificar",IF(AND(F55="No cumple",O55="CUMPLE"),"Mejora",IF(AND(F55="No cumple",O55="PARCIAL"),"Mejora parcial",IF(AND(OR(F55="Cumple",F55="Sin ejecutar"),OR(O55="NO CUMPLE",O55="PARCIAL")),IF(F55="Cumple","Regresión","Falla nueva"),IF(AND(F55="No cumple",O55="NO CUMPLE"),"Sigue fallando","Se mantiene"))))))))</f>
        <v/>
      </c>
    </row>
    <row r="56" ht="15" customHeight="1" s="29">
      <c r="A56" s="34" t="n">
        <v>42</v>
      </c>
      <c r="B56" s="34" t="n">
        <v>17</v>
      </c>
      <c r="C56" s="34" t="inlineStr">
        <is>
          <t>Validar la jornada</t>
        </is>
      </c>
      <c r="D56" s="34" t="inlineStr">
        <is>
          <t>Debe mostrar 1 turno por 12 horas</t>
        </is>
      </c>
      <c r="E56" s="34" t="n"/>
      <c r="F56" s="53" t="inlineStr">
        <is>
          <t>Cumple</t>
        </is>
      </c>
      <c r="G56" s="53" t="n"/>
      <c r="H56" s="53" t="n"/>
      <c r="I56" s="54" t="n"/>
      <c r="J56" s="54" t="n"/>
      <c r="K56" s="54" t="n"/>
      <c r="L56" s="54" t="n"/>
      <c r="M56" s="54" t="n"/>
      <c r="N56" s="54" t="n"/>
      <c r="O56" s="55">
        <f>IF(M56&lt;&gt;"",M56,IF(K56&lt;&gt;"",K56,IF(I56&lt;&gt;"",I56,"")))</f>
        <v/>
      </c>
      <c r="P56" s="55">
        <f>IF(O56="","",IF(O56="PENDIENTE","Pendiente",IF(O56="NO EJECUTABLE","No ejecutable",IF(O56="VERIFICAR","Por verificar",IF(AND(F56="No cumple",O56="CUMPLE"),"Mejora",IF(AND(F56="No cumple",O56="PARCIAL"),"Mejora parcial",IF(AND(OR(F56="Cumple",F56="Sin ejecutar"),OR(O56="NO CUMPLE",O56="PARCIAL")),IF(F56="Cumple","Regresión","Falla nueva"),IF(AND(F56="No cumple",O56="NO CUMPLE"),"Sigue fallando","Se mantiene"))))))))</f>
        <v/>
      </c>
    </row>
    <row r="57" ht="23.85" customHeight="1" s="29">
      <c r="A57" s="34" t="n">
        <v>43</v>
      </c>
      <c r="B57" s="34" t="n">
        <v>18</v>
      </c>
      <c r="C57" s="34" t="inlineStr">
        <is>
          <t>Seleccionar una fecha de cita (debe ser el miércoles que se canceló) y de liberación</t>
        </is>
      </c>
      <c r="D57" s="34" t="n"/>
      <c r="E57" s="34" t="n"/>
      <c r="F57" s="53" t="inlineStr">
        <is>
          <t>Cumple</t>
        </is>
      </c>
      <c r="G57" s="53" t="n"/>
      <c r="H57" s="53" t="n"/>
      <c r="I57" s="54" t="n"/>
      <c r="J57" s="54" t="n"/>
      <c r="K57" s="54" t="n"/>
      <c r="L57" s="54" t="n"/>
      <c r="M57" s="54" t="n"/>
      <c r="N57" s="54" t="n"/>
      <c r="O57" s="55">
        <f>IF(M57&lt;&gt;"",M57,IF(K57&lt;&gt;"",K57,IF(I57&lt;&gt;"",I57,"")))</f>
        <v/>
      </c>
      <c r="P57" s="55">
        <f>IF(O57="","",IF(O57="PENDIENTE","Pendiente",IF(O57="NO EJECUTABLE","No ejecutable",IF(O57="VERIFICAR","Por verificar",IF(AND(F57="No cumple",O57="CUMPLE"),"Mejora",IF(AND(F57="No cumple",O57="PARCIAL"),"Mejora parcial",IF(AND(OR(F57="Cumple",F57="Sin ejecutar"),OR(O57="NO CUMPLE",O57="PARCIAL")),IF(F57="Cumple","Regresión","Falla nueva"),IF(AND(F57="No cumple",O57="NO CUMPLE"),"Sigue fallando","Se mantiene"))))))))</f>
        <v/>
      </c>
    </row>
    <row r="58" ht="15" customHeight="1" s="29">
      <c r="A58" s="34" t="n">
        <v>44</v>
      </c>
      <c r="B58" s="34" t="n">
        <v>19</v>
      </c>
      <c r="C58" s="34" t="inlineStr">
        <is>
          <t>Presentación por producto</t>
        </is>
      </c>
      <c r="D58" s="34" t="inlineStr">
        <is>
          <t>Validar que nos se muestran presentaciones</t>
        </is>
      </c>
      <c r="E58" s="34" t="n"/>
      <c r="F58" s="53" t="inlineStr">
        <is>
          <t>Cumple</t>
        </is>
      </c>
      <c r="G58" s="53" t="n"/>
      <c r="H58" s="53" t="n"/>
      <c r="I58" s="54" t="n"/>
      <c r="J58" s="54" t="n"/>
      <c r="K58" s="54" t="n"/>
      <c r="L58" s="54" t="n"/>
      <c r="M58" s="54" t="n"/>
      <c r="N58" s="54" t="n"/>
      <c r="O58" s="55">
        <f>IF(M58&lt;&gt;"",M58,IF(K58&lt;&gt;"",K58,IF(I58&lt;&gt;"",I58,"")))</f>
        <v/>
      </c>
      <c r="P58" s="55">
        <f>IF(O58="","",IF(O58="PENDIENTE","Pendiente",IF(O58="NO EJECUTABLE","No ejecutable",IF(O58="VERIFICAR","Por verificar",IF(AND(F58="No cumple",O58="CUMPLE"),"Mejora",IF(AND(F58="No cumple",O58="PARCIAL"),"Mejora parcial",IF(AND(OR(F58="Cumple",F58="Sin ejecutar"),OR(O58="NO CUMPLE",O58="PARCIAL")),IF(F58="Cumple","Regresión","Falla nueva"),IF(AND(F58="No cumple",O58="NO CUMPLE"),"Sigue fallando","Se mantiene"))))))))</f>
        <v/>
      </c>
    </row>
    <row r="59" ht="15" customHeight="1" s="29">
      <c r="A59" s="34" t="n">
        <v>45</v>
      </c>
      <c r="B59" s="34" t="n">
        <v>20</v>
      </c>
      <c r="C59" s="34" t="inlineStr">
        <is>
          <t>Fase del evento - Show</t>
        </is>
      </c>
      <c r="D59" s="34" t="n"/>
      <c r="E59" s="34" t="n"/>
      <c r="F59" s="53" t="inlineStr">
        <is>
          <t>Cumple</t>
        </is>
      </c>
      <c r="G59" s="53" t="n"/>
      <c r="H59" s="53" t="n"/>
      <c r="I59" s="54" t="n"/>
      <c r="J59" s="54" t="n"/>
      <c r="K59" s="54" t="n"/>
      <c r="L59" s="54" t="n"/>
      <c r="M59" s="54" t="n"/>
      <c r="N59" s="54" t="n"/>
      <c r="O59" s="55">
        <f>IF(M59&lt;&gt;"",M59,IF(K59&lt;&gt;"",K59,IF(I59&lt;&gt;"",I59,"")))</f>
        <v/>
      </c>
      <c r="P59" s="55">
        <f>IF(O59="","",IF(O59="PENDIENTE","Pendiente",IF(O59="NO EJECUTABLE","No ejecutable",IF(O59="VERIFICAR","Por verificar",IF(AND(F59="No cumple",O59="CUMPLE"),"Mejora",IF(AND(F59="No cumple",O59="PARCIAL"),"Mejora parcial",IF(AND(OR(F59="Cumple",F59="Sin ejecutar"),OR(O59="NO CUMPLE",O59="PARCIAL")),IF(F59="Cumple","Regresión","Falla nueva"),IF(AND(F59="No cumple",O59="NO CUMPLE"),"Sigue fallando","Se mantiene"))))))))</f>
        <v/>
      </c>
    </row>
    <row r="60" ht="15" customHeight="1" s="29">
      <c r="A60" s="34" t="n">
        <v>46</v>
      </c>
      <c r="B60" s="34" t="n">
        <v>21</v>
      </c>
      <c r="C60" s="34" t="inlineStr">
        <is>
          <t>No poner Bloque</t>
        </is>
      </c>
      <c r="D60" s="34" t="n"/>
      <c r="E60" s="34" t="n"/>
      <c r="F60" s="53" t="inlineStr">
        <is>
          <t>Cumple</t>
        </is>
      </c>
      <c r="G60" s="53" t="n"/>
      <c r="H60" s="53" t="n"/>
      <c r="I60" s="54" t="n"/>
      <c r="J60" s="54" t="n"/>
      <c r="K60" s="54" t="n"/>
      <c r="L60" s="54" t="n"/>
      <c r="M60" s="54" t="n"/>
      <c r="N60" s="54" t="n"/>
      <c r="O60" s="55">
        <f>IF(M60&lt;&gt;"",M60,IF(K60&lt;&gt;"",K60,IF(I60&lt;&gt;"",I60,"")))</f>
        <v/>
      </c>
      <c r="P60" s="55">
        <f>IF(O60="","",IF(O60="PENDIENTE","Pendiente",IF(O60="NO EJECUTABLE","No ejecutable",IF(O60="VERIFICAR","Por verificar",IF(AND(F60="No cumple",O60="CUMPLE"),"Mejora",IF(AND(F60="No cumple",O60="PARCIAL"),"Mejora parcial",IF(AND(OR(F60="Cumple",F60="Sin ejecutar"),OR(O60="NO CUMPLE",O60="PARCIAL")),IF(F60="Cumple","Regresión","Falla nueva"),IF(AND(F60="No cumple",O60="NO CUMPLE"),"Sigue fallando","Se mantiene"))))))))</f>
        <v/>
      </c>
    </row>
    <row r="61" ht="23.85" customHeight="1" s="29">
      <c r="A61" s="34" t="n">
        <v>47</v>
      </c>
      <c r="B61" s="34" t="n">
        <v>22</v>
      </c>
      <c r="C61" s="34" t="inlineStr">
        <is>
          <t>Forzar la asignación de la persona que confirmó el bloque anterior</t>
        </is>
      </c>
      <c r="D61" s="34" t="inlineStr">
        <is>
          <t>El sistema no debe de dejar la asignación (en función del Puesto)</t>
        </is>
      </c>
      <c r="E61" s="34" t="n"/>
      <c r="F61" s="53" t="inlineStr">
        <is>
          <t>Sin ejecutar</t>
        </is>
      </c>
      <c r="G61" s="53" t="n"/>
      <c r="H61" s="53" t="n"/>
      <c r="I61" s="54" t="n"/>
      <c r="J61" s="54" t="n"/>
      <c r="K61" s="54" t="n"/>
      <c r="L61" s="54" t="n"/>
      <c r="M61" s="54" t="n"/>
      <c r="N61" s="54" t="n"/>
      <c r="O61" s="55">
        <f>IF(M61&lt;&gt;"",M61,IF(K61&lt;&gt;"",K61,IF(I61&lt;&gt;"",I61,"")))</f>
        <v/>
      </c>
      <c r="P61" s="55">
        <f>IF(O61="","",IF(O61="PENDIENTE","Pendiente",IF(O61="NO EJECUTABLE","No ejecutable",IF(O61="VERIFICAR","Por verificar",IF(AND(F61="No cumple",O61="CUMPLE"),"Mejora",IF(AND(F61="No cumple",O61="PARCIAL"),"Mejora parcial",IF(AND(OR(F61="Cumple",F61="Sin ejecutar"),OR(O61="NO CUMPLE",O61="PARCIAL")),IF(F61="Cumple","Regresión","Falla nueva"),IF(AND(F61="No cumple",O61="NO CUMPLE"),"Sigue fallando","Se mantiene"))))))))</f>
        <v/>
      </c>
    </row>
    <row r="62" ht="35.05" customHeight="1" s="29">
      <c r="A62" s="34" t="n">
        <v>48</v>
      </c>
      <c r="B62" s="34" t="n"/>
      <c r="C62" s="34" t="inlineStr">
        <is>
          <t>Realizar la misma prueba, cambiando la propiedad del puesto para que sí permita la confirmación entre seriados</t>
        </is>
      </c>
      <c r="D62" s="34" t="n"/>
      <c r="E62" s="34" t="n"/>
      <c r="F62" s="53" t="inlineStr">
        <is>
          <t>Sin ejecutar</t>
        </is>
      </c>
      <c r="G62" s="53" t="n"/>
      <c r="H62" s="53" t="n"/>
      <c r="I62" s="54" t="n"/>
      <c r="J62" s="54" t="n"/>
      <c r="K62" s="54" t="n"/>
      <c r="L62" s="54" t="n"/>
      <c r="M62" s="54" t="n"/>
      <c r="N62" s="54" t="n"/>
      <c r="O62" s="55">
        <f>IF(M62&lt;&gt;"",M62,IF(K62&lt;&gt;"",K62,IF(I62&lt;&gt;"",I62,"")))</f>
        <v/>
      </c>
      <c r="P62" s="55">
        <f>IF(O62="","",IF(O62="PENDIENTE","Pendiente",IF(O62="NO EJECUTABLE","No ejecutable",IF(O62="VERIFICAR","Por verificar",IF(AND(F62="No cumple",O62="CUMPLE"),"Mejora",IF(AND(F62="No cumple",O62="PARCIAL"),"Mejora parcial",IF(AND(OR(F62="Cumple",F62="Sin ejecutar"),OR(O62="NO CUMPLE",O62="PARCIAL")),IF(F62="Cumple","Regresión","Falla nueva"),IF(AND(F62="No cumple",O62="NO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62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62 K13:K62 M13:M62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ESC-06 — Pedido de Transporte con empalme de horario</t>
        </is>
      </c>
    </row>
    <row r="2" ht="15" customHeight="1" s="29">
      <c r="A2" s="45" t="inlineStr">
        <is>
          <t>Núm. original</t>
        </is>
      </c>
      <c r="B2" s="46" t="inlineStr">
        <is>
          <t>Escenario 6</t>
        </is>
      </c>
      <c r="I2" s="45" t="inlineStr">
        <is>
          <t>Pasos</t>
        </is>
      </c>
      <c r="J2" s="45">
        <f>COUNT(A13:A17)</f>
        <v/>
      </c>
    </row>
    <row r="3" ht="15" customHeight="1" s="29">
      <c r="A3" s="45" t="inlineStr">
        <is>
          <t>Módulo</t>
        </is>
      </c>
      <c r="B3" s="46" t="inlineStr">
        <is>
          <t>Pedidos</t>
        </is>
      </c>
      <c r="I3" s="45" t="inlineStr">
        <is>
          <t>Ejecutados (último)</t>
        </is>
      </c>
      <c r="J3" s="45">
        <f>COUNTIF(O13:O17,"?*")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la detección de empalme de horarios entre detalles de un pedido de Transporte.</t>
        </is>
      </c>
      <c r="I4" s="45" t="inlineStr">
        <is>
          <t>CUMPLE (último)</t>
        </is>
      </c>
      <c r="J4" s="45">
        <f>COUNTIF(O13:O17,"CUMPLE")</f>
        <v/>
      </c>
    </row>
    <row r="5" ht="15" customHeight="1" s="29">
      <c r="A5" s="45" t="inlineStr">
        <is>
          <t>Funcionalidades</t>
        </is>
      </c>
      <c r="B5" s="46" t="inlineStr">
        <is>
          <t>Medio turno · empalme · aviso con IDs en conflicto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S06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Crear un pedido con la UN Transportes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Crear un detalle con fecha de cita un día laborable a las 9am, con medio turno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>Crear otro detalle con fecha de cita a las 10 am</t>
        </is>
      </c>
      <c r="D15" s="34" t="n"/>
      <c r="E15" s="34" t="n"/>
      <c r="F15" s="53" t="inlineStr">
        <is>
          <t>No cumple</t>
        </is>
      </c>
      <c r="G15" s="53" t="inlineStr">
        <is>
          <t>Se puede realizar sin nignún prblema</t>
        </is>
      </c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35.05" customHeight="1" s="29">
      <c r="A16" s="34" t="n">
        <v>4</v>
      </c>
      <c r="B16" s="34" t="n"/>
      <c r="C16" s="34" t="inlineStr">
        <is>
          <t>Validar que el sistema no permite generar el segundo detalle ya que el turno para el primer detalle es de 4 horas</t>
        </is>
      </c>
      <c r="D16" s="34" t="n"/>
      <c r="E16" s="34" t="n"/>
      <c r="F16" s="53" t="inlineStr">
        <is>
          <t>No cumple</t>
        </is>
      </c>
      <c r="G16" s="53" t="inlineStr">
        <is>
          <t>El sistema no realiza ningún aviso</t>
        </is>
      </c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/>
      <c r="C17" s="34" t="inlineStr">
        <is>
          <t>Validar que el sistema avisa de los detalles (Ids) con los que se está empalmando.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17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17 K13:K17 M13:M17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ESC-07 — Comprobar fecha y hora  de liberación</t>
        </is>
      </c>
    </row>
    <row r="2" ht="15" customHeight="1" s="29">
      <c r="A2" s="45" t="inlineStr">
        <is>
          <t>Núm. original</t>
        </is>
      </c>
      <c r="B2" s="46" t="inlineStr">
        <is>
          <t>Escenario 7</t>
        </is>
      </c>
      <c r="I2" s="45" t="inlineStr">
        <is>
          <t>Pasos</t>
        </is>
      </c>
      <c r="J2" s="45">
        <f>COUNT(A13:A17)</f>
        <v/>
      </c>
    </row>
    <row r="3" ht="15" customHeight="1" s="29">
      <c r="A3" s="45" t="inlineStr">
        <is>
          <t>Módulo</t>
        </is>
      </c>
      <c r="B3" s="46" t="inlineStr">
        <is>
          <t>Pedidos</t>
        </is>
      </c>
      <c r="I3" s="45" t="inlineStr">
        <is>
          <t>Ejecutados (último)</t>
        </is>
      </c>
      <c r="J3" s="45">
        <f>COUNTIF(O13:O17,"?*")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la liberación programada por fecha y hora, y la actualización del semáforo.</t>
        </is>
      </c>
      <c r="I4" s="45" t="inlineStr">
        <is>
          <t>CUMPLE (último)</t>
        </is>
      </c>
      <c r="J4" s="45">
        <f>COUNTIF(O13:O17,"CUMPLE")</f>
        <v/>
      </c>
    </row>
    <row r="5" ht="15" customHeight="1" s="29">
      <c r="A5" s="45" t="inlineStr">
        <is>
          <t>Funcionalidades</t>
        </is>
      </c>
      <c r="B5" s="46" t="inlineStr">
        <is>
          <t>Fecha/hora de liberación · reservaciones · semáforo de detalles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Espera de 1 hora real</t>
        </is>
      </c>
    </row>
    <row r="7" ht="15" customHeight="1" s="29">
      <c r="A7" s="45" t="inlineStr">
        <is>
          <t>Sesión sugerida</t>
        </is>
      </c>
      <c r="B7" s="46" t="inlineStr">
        <is>
          <t>S06</t>
        </is>
      </c>
    </row>
    <row r="8" ht="15" customHeight="1" s="29">
      <c r="A8" s="45" t="inlineStr">
        <is>
          <t>⚠ Calidad del caso</t>
        </is>
      </c>
      <c r="B8" s="48" t="inlineStr">
        <is>
          <t>Requiere esperar la hora programada; considerar mecanismo para simular tiempo.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Crear un pedido de UN Seguridad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Crear un detalle pedido con fecha de cita posterior al día en curso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/>
      <c r="C15" s="34" t="inlineStr">
        <is>
          <t>Agregar una fecha  y hora de liberación del día en curso, con 1 hora posterior a la prueba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23.85" customHeight="1" s="29">
      <c r="A16" s="34" t="n">
        <v>4</v>
      </c>
      <c r="B16" s="34" t="n"/>
      <c r="C16" s="34" t="inlineStr">
        <is>
          <t>Validar en la página de reservaciones que el pedido se liberó a la hora programada.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/>
      <c r="C17" s="34" t="inlineStr">
        <is>
          <t>Validar que el semáforo de los detalles de pedido se actualiza de color.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17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17 K13:K17 M13:M17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P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ESC-08 — Validación de plazas</t>
        </is>
      </c>
    </row>
    <row r="2" ht="15" customHeight="1" s="29">
      <c r="A2" s="45" t="inlineStr">
        <is>
          <t>Núm. original</t>
        </is>
      </c>
      <c r="B2" s="46" t="inlineStr">
        <is>
          <t>Escenario 8</t>
        </is>
      </c>
      <c r="I2" s="45" t="inlineStr">
        <is>
          <t>Pasos</t>
        </is>
      </c>
      <c r="J2" s="45">
        <f>COUNT(A13:A25)</f>
        <v/>
      </c>
    </row>
    <row r="3" ht="15" customHeight="1" s="29">
      <c r="A3" s="45" t="inlineStr">
        <is>
          <t>Módulo</t>
        </is>
      </c>
      <c r="B3" s="46" t="inlineStr">
        <is>
          <t>Asignaciones / Nómina</t>
        </is>
      </c>
      <c r="I3" s="45" t="inlineStr">
        <is>
          <t>Ejecutados (último)</t>
        </is>
      </c>
      <c r="J3" s="45">
        <f>COUNTIF(O13:O25,"?*")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el sueldo según plaza vigente en la fecha del evento y su recálculo al mover la fecha de inicio.</t>
        </is>
      </c>
      <c r="I4" s="45" t="inlineStr">
        <is>
          <t>CUMPLE (último)</t>
        </is>
      </c>
      <c r="J4" s="45">
        <f>COUNTIF(O13:O25,"CUMPLE")</f>
        <v/>
      </c>
    </row>
    <row r="5" ht="15" customHeight="1" s="29">
      <c r="A5" s="45" t="inlineStr">
        <is>
          <t>Funcionalidades</t>
        </is>
      </c>
      <c r="B5" s="46" t="inlineStr">
        <is>
          <t>Plazas por empleado · sueldo default por puesto · vigencia · recálculo en pagos &amp; honorarios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Empleado ID 54943; fechas 2019</t>
        </is>
      </c>
    </row>
    <row r="7" ht="15" customHeight="1" s="29">
      <c r="A7" s="45" t="inlineStr">
        <is>
          <t>Sesión sugerida</t>
        </is>
      </c>
      <c r="B7" s="46" t="inlineStr">
        <is>
          <t>S07</t>
        </is>
      </c>
    </row>
    <row r="8" ht="15" customHeight="1" s="29">
      <c r="A8" s="45" t="inlineStr">
        <is>
          <t>⚠ Calidad del caso</t>
        </is>
      </c>
      <c r="B8" s="48" t="inlineStr">
        <is>
          <t>Usa fechas de 2019: confirmar si siguen siendo válidas en el sistema nuevo.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35.05" customHeight="1" s="29">
      <c r="A13" s="34" t="n">
        <v>1</v>
      </c>
      <c r="B13" s="34" t="n"/>
      <c r="C13" s="34" t="inlineStr">
        <is>
          <t>Dar de alta un empleado de seguridad con fecha de incicio de puesto 15 de Febrero de 2019 ID(54943)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Validar que el sistema le asigna el sueldo por default correspondiente a su puesto. ($285)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35.05" customHeight="1" s="29">
      <c r="A15" s="34" t="n">
        <v>3</v>
      </c>
      <c r="B15" s="34" t="n"/>
      <c r="C15" s="34" t="inlineStr">
        <is>
          <t>Agregar  al empleado otra plaza del mismo puesto con fecha inicial del 20 de Febrero 2019 con $300 pesos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Crear un pedido de seguridad con dos detalles.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/>
      <c r="C17" s="34" t="inlineStr">
        <is>
          <t>El primer detalle ponerle fecha de cita 10 de Febero de 2019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>El segundo detalle ponerle fecha de cita del 21 de Febrero del 2019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Liberar el Pedido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/>
      <c r="C20" s="34" t="inlineStr">
        <is>
          <t>El nuevo empleado, confirma el primer detalle del pedido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23.85" customHeight="1" s="29">
      <c r="A21" s="34" t="n">
        <v>9</v>
      </c>
      <c r="B21" s="34" t="n"/>
      <c r="C21" s="34" t="inlineStr">
        <is>
          <t>Validar que el sueldo va a salir en cero (ya que no tiene plaza vigente para esa fecha)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23.85" customHeight="1" s="29">
      <c r="A22" s="34" t="n">
        <v>10</v>
      </c>
      <c r="B22" s="34" t="n"/>
      <c r="C22" s="34" t="inlineStr">
        <is>
          <t>El nuevo emplealdo confirma el segundo detalle del pedido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15" customHeight="1" s="29">
      <c r="A23" s="34" t="n">
        <v>11</v>
      </c>
      <c r="B23" s="34" t="n"/>
      <c r="C23" s="34" t="inlineStr">
        <is>
          <t>Validar que el sueldo sale en $300 pesos</t>
        </is>
      </c>
      <c r="D23" s="34" t="n"/>
      <c r="E23" s="34" t="n"/>
      <c r="F23" s="53" t="inlineStr">
        <is>
          <t>Sin ejecutar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23.85" customHeight="1" s="29">
      <c r="A24" s="34" t="n">
        <v>12</v>
      </c>
      <c r="B24" s="34" t="n"/>
      <c r="C24" s="34" t="inlineStr">
        <is>
          <t>Entrar como administrador de nómina, y recorrer la fecha de inicio de puesto al 9 de Febrero</t>
        </is>
      </c>
      <c r="D24" s="34" t="n"/>
      <c r="E24" s="34" t="n"/>
      <c r="F24" s="53" t="inlineStr">
        <is>
          <t>Sin ejecutar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23.85" customHeight="1" s="29">
      <c r="A25" s="34" t="n">
        <v>13</v>
      </c>
      <c r="B25" s="34" t="n"/>
      <c r="C25" s="34" t="inlineStr">
        <is>
          <t>Validar que en pagos &amp; honorarios se recalculó el monto del empleado y ya sale los $285</t>
        </is>
      </c>
      <c r="D25" s="34" t="n"/>
      <c r="E25" s="34" t="n"/>
      <c r="F25" s="53" t="inlineStr">
        <is>
          <t>Sin ejecutar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5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5 K13:K25 M13:M25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P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ESC-09 — Validación de certeza valor</t>
        </is>
      </c>
    </row>
    <row r="2" ht="15" customHeight="1" s="29">
      <c r="A2" s="45" t="inlineStr">
        <is>
          <t>Núm. original</t>
        </is>
      </c>
      <c r="B2" s="46" t="inlineStr">
        <is>
          <t>Escenario 9</t>
        </is>
      </c>
      <c r="I2" s="45" t="inlineStr">
        <is>
          <t>Pasos</t>
        </is>
      </c>
      <c r="J2" s="45">
        <f>COUNT(A13:A19)</f>
        <v/>
      </c>
    </row>
    <row r="3" ht="15" customHeight="1" s="29">
      <c r="A3" s="45" t="inlineStr">
        <is>
          <t>Módulo</t>
        </is>
      </c>
      <c r="B3" s="46" t="inlineStr">
        <is>
          <t>Asignaciones</t>
        </is>
      </c>
      <c r="I3" s="45" t="inlineStr">
        <is>
          <t>Ejecutados (último)</t>
        </is>
      </c>
      <c r="J3" s="45">
        <f>COUNTIF(O13:O19,"?*")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que la certeza valor del empleado restringe visibilidad y asignación forzada.</t>
        </is>
      </c>
      <c r="I4" s="45" t="inlineStr">
        <is>
          <t>CUMPLE (último)</t>
        </is>
      </c>
      <c r="J4" s="45">
        <f>COUNTIF(O13:O19,"CUMPLE")</f>
        <v/>
      </c>
    </row>
    <row r="5" ht="15" customHeight="1" s="29">
      <c r="A5" s="45" t="inlineStr">
        <is>
          <t>Funcionalidades</t>
        </is>
      </c>
      <c r="B5" s="46" t="inlineStr">
        <is>
          <t>Certeza valor por puesto · visibilidad en confirmación · bloqueo de asignación forzada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Empleado ID 57231</t>
        </is>
      </c>
    </row>
    <row r="7" ht="15" customHeight="1" s="29">
      <c r="A7" s="45" t="inlineStr">
        <is>
          <t>Sesión sugerida</t>
        </is>
      </c>
      <c r="B7" s="46" t="inlineStr">
        <is>
          <t>S07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23.85" customHeight="1" s="29">
      <c r="A13" s="34" t="n">
        <v>1</v>
      </c>
      <c r="B13" s="34" t="n"/>
      <c r="C13" s="34" t="inlineStr">
        <is>
          <t>Crear un nuevo empleado de seguridad ID(57231)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Validar que su certeza valor es 0.9, que es la que tiene el puesto por default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/>
      <c r="C15" s="34" t="inlineStr">
        <is>
          <t>Crear un pedido de seguridad con un detalle con cantidad 1.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Liberar el pedido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/>
      <c r="C17" s="34" t="inlineStr">
        <is>
          <t>Validar que en la página de confirmación del empleado no le aparezca el evento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>Volver a pedido y realizar una asignación forzada o preasignada del empleado.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/>
      <c r="C19" s="34" t="inlineStr">
        <is>
          <t>El sistema no debe dejar realizar la asignación forzada.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19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19 K13:K19 M13:M19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P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ESC-10 — Cancelación de preasignación forzada por no confirmación</t>
        </is>
      </c>
    </row>
    <row r="2" ht="15" customHeight="1" s="29">
      <c r="A2" s="45" t="inlineStr">
        <is>
          <t>Núm. original</t>
        </is>
      </c>
      <c r="B2" s="46" t="inlineStr">
        <is>
          <t>Escenario 10</t>
        </is>
      </c>
      <c r="I2" s="45" t="inlineStr">
        <is>
          <t>Pasos</t>
        </is>
      </c>
      <c r="J2" s="45">
        <f>COUNT(A13:A19)</f>
        <v/>
      </c>
    </row>
    <row r="3" ht="15" customHeight="1" s="29">
      <c r="A3" s="45" t="inlineStr">
        <is>
          <t>Módulo</t>
        </is>
      </c>
      <c r="B3" s="46" t="inlineStr">
        <is>
          <t>Asignaciones</t>
        </is>
      </c>
      <c r="I3" s="45" t="inlineStr">
        <is>
          <t>Ejecutados (último)</t>
        </is>
      </c>
      <c r="J3" s="45">
        <f>COUNTIF(O13:O19,"?*")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el proceso de cancelación de preasignaciones no confirmadas y la visibilidad posterior.</t>
        </is>
      </c>
      <c r="I4" s="45" t="inlineStr">
        <is>
          <t>CUMPLE (último)</t>
        </is>
      </c>
      <c r="J4" s="45">
        <f>COUNTIF(O13:O19,"CUMPLE")</f>
        <v/>
      </c>
    </row>
    <row r="5" ht="15" customHeight="1" s="29">
      <c r="A5" s="45" t="inlineStr">
        <is>
          <t>Funcionalidades</t>
        </is>
      </c>
      <c r="B5" s="46" t="inlineStr">
        <is>
          <t>Preasignación · visibilidad para no asignados · proceso de cancelación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Empleados ID 3891, 16338, 33817, 46486, 54501</t>
        </is>
      </c>
    </row>
    <row r="7" ht="15" customHeight="1" s="29">
      <c r="A7" s="45" t="inlineStr">
        <is>
          <t>Sesión sugerida</t>
        </is>
      </c>
      <c r="B7" s="46" t="inlineStr">
        <is>
          <t>S08</t>
        </is>
      </c>
    </row>
    <row r="8" ht="15" customHeight="1" s="29">
      <c r="A8" s="45" t="inlineStr">
        <is>
          <t>⚠ Calidad del caso</t>
        </is>
      </c>
      <c r="B8" s="48" t="inlineStr">
        <is>
          <t>Pide 4 personas pero lista 5 IDs.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Crear un pedido de seguridad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35.05" customHeight="1" s="29">
      <c r="A14" s="34" t="n">
        <v>2</v>
      </c>
      <c r="B14" s="34" t="n"/>
      <c r="C14" s="34" t="inlineStr">
        <is>
          <t>Crear un detalle de pedido con fecha del día siguiente a las 7pm solicitando 4 personas ID(3891,16338,33817,46486,54501)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>Preasignar a cuatro empleados al pedido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Liberar el detalle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46.25" customHeight="1" s="29">
      <c r="A17" s="34" t="n">
        <v>5</v>
      </c>
      <c r="B17" s="34" t="n"/>
      <c r="C17" s="34" t="inlineStr">
        <is>
          <t>Entrar a la página de reservaciones con otro empleado de seguridad (ninguno de los 4 asignados) y validar que no pueden ver el pedido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>Correr manualmente el proceso de cancelación de preasignados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/>
      <c r="C19" s="34" t="inlineStr">
        <is>
          <t>Validar que el otro empleado de seguridad ya pueda ver el pedido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19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19 K13:K19 M13:M19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P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ESC-11 — Confirmación de personal sin puesto asignado vigente</t>
        </is>
      </c>
    </row>
    <row r="2" ht="15" customHeight="1" s="29">
      <c r="A2" s="45" t="inlineStr">
        <is>
          <t>Núm. original</t>
        </is>
      </c>
      <c r="B2" s="46" t="inlineStr">
        <is>
          <t>Escenario 11</t>
        </is>
      </c>
      <c r="I2" s="45" t="inlineStr">
        <is>
          <t>Pasos</t>
        </is>
      </c>
      <c r="J2" s="45">
        <f>COUNT(A13:A19)</f>
        <v/>
      </c>
    </row>
    <row r="3" ht="15" customHeight="1" s="29">
      <c r="A3" s="45" t="inlineStr">
        <is>
          <t>Módulo</t>
        </is>
      </c>
      <c r="B3" s="46" t="inlineStr">
        <is>
          <t>Asignaciones</t>
        </is>
      </c>
      <c r="I3" s="45" t="inlineStr">
        <is>
          <t>Ejecutados (último)</t>
        </is>
      </c>
      <c r="J3" s="45">
        <f>COUNTIF(O13:O19,"?*")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que no se permita preasignar a un empleado sin puesto vigente.</t>
        </is>
      </c>
      <c r="I4" s="45" t="inlineStr">
        <is>
          <t>CUMPLE (último)</t>
        </is>
      </c>
      <c r="J4" s="45">
        <f>COUNTIF(O13:O19,"CUMPLE")</f>
        <v/>
      </c>
    </row>
    <row r="5" ht="15" customHeight="1" s="29">
      <c r="A5" s="45" t="inlineStr">
        <is>
          <t>Funcionalidades</t>
        </is>
      </c>
      <c r="B5" s="46" t="inlineStr">
        <is>
          <t>Puesto requerido · vigencia de puesto · mensajes de error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Empleado ID 58172</t>
        </is>
      </c>
    </row>
    <row r="7" ht="15" customHeight="1" s="29">
      <c r="A7" s="45" t="inlineStr">
        <is>
          <t>Sesión sugerida</t>
        </is>
      </c>
      <c r="B7" s="46" t="inlineStr">
        <is>
          <t>S07</t>
        </is>
      </c>
    </row>
    <row r="8" ht="15" customHeight="1" s="29">
      <c r="A8" s="45" t="inlineStr">
        <is>
          <t>⚠ Calidad del caso</t>
        </is>
      </c>
      <c r="B8" s="48" t="inlineStr">
        <is>
          <t>Legado: los mensajes emergentes no indican qué regla falló.</t>
        </is>
      </c>
    </row>
    <row r="9" ht="15" customHeight="1" s="29">
      <c r="A9" s="45" t="inlineStr">
        <is>
          <t>Notas originales</t>
        </is>
      </c>
      <c r="B9" s="46" t="inlineStr">
        <is>
          <t>NOTA: Las pruebas de validación con pre-asignaciones se realizarán también en la página de reservaciones, ya que aplican las mismas reglas.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Crear un empleado de seguridad ID(58172)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Crear un Pedido de control de accesos con un único detalle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/>
      <c r="C15" s="34" t="inlineStr">
        <is>
          <t>Realizar una Pre-asignación del empleado de seguridad para el pedido de control de accesos</t>
        </is>
      </c>
      <c r="D15" s="34" t="n"/>
      <c r="E15" s="34" t="n"/>
      <c r="F15" s="53" t="inlineStr">
        <is>
          <t>Cumple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35.05" customHeight="1" s="29">
      <c r="A16" s="34" t="n">
        <v>4</v>
      </c>
      <c r="B16" s="34" t="n"/>
      <c r="C16" s="34" t="inlineStr">
        <is>
          <t>Validar que el sistema no permita la pre-asignación ya que el empleado no cuenta con el puesto requerido</t>
        </is>
      </c>
      <c r="D16" s="34" t="n"/>
      <c r="E16" s="34" t="n"/>
      <c r="F16" s="53" t="inlineStr">
        <is>
          <t>Cumple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35.05" customHeight="1" s="29">
      <c r="A17" s="34" t="n">
        <v>5</v>
      </c>
      <c r="B17" s="34" t="n"/>
      <c r="C17" s="34" t="inlineStr">
        <is>
          <t>Agregar el puesto de control de accesos al Empleado, con una fecha fin de puesto anterior al a fecha del evento</t>
        </is>
      </c>
      <c r="D17" s="34" t="n"/>
      <c r="E17" s="34" t="n"/>
      <c r="F17" s="53" t="inlineStr">
        <is>
          <t>Cumple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57.45" customHeight="1" s="29">
      <c r="A18" s="34" t="n">
        <v>6</v>
      </c>
      <c r="B18" s="34" t="n"/>
      <c r="C18" s="34" t="inlineStr">
        <is>
          <t>Realizar una Pre-asignación del empleado para el pedido de control de accesos</t>
        </is>
      </c>
      <c r="D18" s="34" t="n"/>
      <c r="E18" s="34" t="n"/>
      <c r="F18" s="53" t="inlineStr">
        <is>
          <t>Sin ejecutar</t>
        </is>
      </c>
      <c r="G18" s="53" t="inlineStr">
        <is>
          <t>Las ventanas emergentes deben ser más precisas al indicar el error para ubicarlo. En este caso cumplió con certeza valor, perfil, vigencia y no fue posible identificar la falla.</t>
        </is>
      </c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35.05" customHeight="1" s="29">
      <c r="A19" s="34" t="n">
        <v>7</v>
      </c>
      <c r="B19" s="34" t="n"/>
      <c r="C19" s="34" t="inlineStr">
        <is>
          <t>Validar que el sistema no permita la pre-asignación ya que el empleado no cuenta con el puesto requerido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19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19 K13:K19 M13:M19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P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ESC-12 — Productos similares</t>
        </is>
      </c>
    </row>
    <row r="2" ht="15" customHeight="1" s="29">
      <c r="A2" s="45" t="inlineStr">
        <is>
          <t>Núm. original</t>
        </is>
      </c>
      <c r="B2" s="46" t="inlineStr">
        <is>
          <t>Escenario 12</t>
        </is>
      </c>
      <c r="I2" s="45" t="inlineStr">
        <is>
          <t>Pasos</t>
        </is>
      </c>
      <c r="J2" s="45">
        <f>COUNT(A13:A25)</f>
        <v/>
      </c>
    </row>
    <row r="3" ht="15" customHeight="1" s="29">
      <c r="A3" s="45" t="inlineStr">
        <is>
          <t>Módulo</t>
        </is>
      </c>
      <c r="B3" s="46" t="inlineStr">
        <is>
          <t>Asignaciones</t>
        </is>
      </c>
      <c r="I3" s="45" t="inlineStr">
        <is>
          <t>Ejecutados (último)</t>
        </is>
      </c>
      <c r="J3" s="45">
        <f>COUNTIF(O13:O25,"?*")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la regla de productos similares en asignación y visibilidad.</t>
        </is>
      </c>
      <c r="I4" s="45" t="inlineStr">
        <is>
          <t>CUMPLE (último)</t>
        </is>
      </c>
      <c r="J4" s="45">
        <f>COUNTIF(O13:O25,"CUMPLE")</f>
        <v/>
      </c>
    </row>
    <row r="5" ht="15" customHeight="1" s="29">
      <c r="A5" s="45" t="inlineStr">
        <is>
          <t>Funcionalidades</t>
        </is>
      </c>
      <c r="B5" s="46" t="inlineStr">
        <is>
          <t>Permitir similares · asignación forzada · visibilidad en reservaciones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Al menos un empleado de control de accesos</t>
        </is>
      </c>
    </row>
    <row r="7" ht="15" customHeight="1" s="29">
      <c r="A7" s="45" t="inlineStr">
        <is>
          <t>Sesión sugerida</t>
        </is>
      </c>
      <c r="B7" s="46" t="inlineStr">
        <is>
          <t>S08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23.85" customHeight="1" s="29">
      <c r="A13" s="34" t="n">
        <v>1</v>
      </c>
      <c r="B13" s="34" t="n"/>
      <c r="C13" s="34" t="inlineStr">
        <is>
          <t>Para el escenario se debe contar al menos con un empleado de control de accesos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15" customHeight="1" s="29">
      <c r="A14" s="34" t="n">
        <v>2</v>
      </c>
      <c r="B14" s="34" t="n"/>
      <c r="C14" s="34" t="inlineStr">
        <is>
          <t>Crear un pedido de seguridad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/>
      <c r="C15" s="34" t="inlineStr">
        <is>
          <t>Crear un detalle indicando que no permita productos similares</t>
        </is>
      </c>
      <c r="D15" s="34" t="n"/>
      <c r="E15" s="34" t="n"/>
      <c r="F15" s="53" t="inlineStr">
        <is>
          <t>Cumple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Guardar y liberar el pedido</t>
        </is>
      </c>
      <c r="D16" s="34" t="n"/>
      <c r="E16" s="34" t="n"/>
      <c r="F16" s="53" t="inlineStr">
        <is>
          <t>Cumple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/>
      <c r="C17" s="34" t="inlineStr">
        <is>
          <t>Realizar una asignación forzada de un empleado de control de acceso</t>
        </is>
      </c>
      <c r="D17" s="34" t="n"/>
      <c r="E17" s="34" t="n"/>
      <c r="F17" s="53" t="inlineStr">
        <is>
          <t>Cumple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>Validar que el sistema no permite realizar esta asignación</t>
        </is>
      </c>
      <c r="D18" s="34" t="n"/>
      <c r="E18" s="34" t="n"/>
      <c r="F18" s="53" t="inlineStr">
        <is>
          <t>Cumple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/>
      <c r="C19" s="34" t="inlineStr">
        <is>
          <t>Entrar a la página de reservaciones del empleado de control de accesos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15" customHeight="1" s="29">
      <c r="A20" s="34" t="n">
        <v>8</v>
      </c>
      <c r="B20" s="34" t="n"/>
      <c r="C20" s="34" t="inlineStr">
        <is>
          <t>Validar que no se muestra el pedido creado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23.85" customHeight="1" s="29">
      <c r="A21" s="34" t="n">
        <v>9</v>
      </c>
      <c r="B21" s="34" t="n"/>
      <c r="C21" s="34" t="inlineStr">
        <is>
          <t>Volver al detalle del pedido y editar para que permita productos similares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23.85" customHeight="1" s="29">
      <c r="A22" s="34" t="n">
        <v>10</v>
      </c>
      <c r="B22" s="34" t="n"/>
      <c r="C22" s="34" t="inlineStr">
        <is>
          <t>Realizar una asignación forzada de un empleado de control de acceso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23.85" customHeight="1" s="29">
      <c r="A23" s="34" t="n">
        <v>11</v>
      </c>
      <c r="B23" s="34" t="n"/>
      <c r="C23" s="34" t="inlineStr">
        <is>
          <t>Validar que el sistema permite realizar esta asignación</t>
        </is>
      </c>
      <c r="D23" s="34" t="n"/>
      <c r="E23" s="34" t="n"/>
      <c r="F23" s="53" t="inlineStr">
        <is>
          <t>Sin ejecutar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23.85" customHeight="1" s="29">
      <c r="A24" s="34" t="n">
        <v>12</v>
      </c>
      <c r="B24" s="34" t="n"/>
      <c r="C24" s="34" t="inlineStr">
        <is>
          <t>Entrar a la página de reservaciones del empleado de control de accesos</t>
        </is>
      </c>
      <c r="D24" s="34" t="n"/>
      <c r="E24" s="34" t="n"/>
      <c r="F24" s="53" t="inlineStr">
        <is>
          <t>Sin ejecutar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15" customHeight="1" s="29">
      <c r="A25" s="34" t="n">
        <v>13</v>
      </c>
      <c r="B25" s="34" t="n"/>
      <c r="C25" s="34" t="inlineStr">
        <is>
          <t>Validar que se muestra el pedido creado</t>
        </is>
      </c>
      <c r="D25" s="34" t="n"/>
      <c r="E25" s="34" t="n"/>
      <c r="F25" s="53" t="inlineStr">
        <is>
          <t>Sin ejecutar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5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5 K13:K25 M13:M25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P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ESC-13 — Validar que no se puedan cancelar reservaciones</t>
        </is>
      </c>
    </row>
    <row r="2" ht="15" customHeight="1" s="29">
      <c r="A2" s="45" t="inlineStr">
        <is>
          <t>Núm. original</t>
        </is>
      </c>
      <c r="B2" s="46" t="inlineStr">
        <is>
          <t>Escenario 13</t>
        </is>
      </c>
      <c r="I2" s="45" t="inlineStr">
        <is>
          <t>Pasos</t>
        </is>
      </c>
      <c r="J2" s="45">
        <f>COUNT(A13:A41)</f>
        <v/>
      </c>
    </row>
    <row r="3" ht="15" customHeight="1" s="29">
      <c r="A3" s="45" t="inlineStr">
        <is>
          <t>Módulo</t>
        </is>
      </c>
      <c r="B3" s="46" t="inlineStr">
        <is>
          <t>Asignaciones</t>
        </is>
      </c>
      <c r="I3" s="45" t="inlineStr">
        <is>
          <t>Ejecutados (último)</t>
        </is>
      </c>
      <c r="J3" s="45">
        <f>COUNTIF(O13:O41,"?*")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las reglas de cancelación de confirmaciones: pedido/detalle, 72 horas y cambio de horario con aviso.</t>
        </is>
      </c>
      <c r="I4" s="45" t="inlineStr">
        <is>
          <t>CUMPLE (último)</t>
        </is>
      </c>
      <c r="J4" s="45">
        <f>COUNTIF(O13:O41,"CUMPLE")</f>
        <v/>
      </c>
    </row>
    <row r="5" ht="15" customHeight="1" s="29">
      <c r="A5" s="45" t="inlineStr">
        <is>
          <t>Funcionalidades</t>
        </is>
      </c>
      <c r="B5" s="46" t="inlineStr">
        <is>
          <t>Permitir cancelar (pedido y detalle) · regla 72h · aviso por correo · cancelación tras cambio de horario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Varios empleados de seguridad con acceso al portal</t>
        </is>
      </c>
    </row>
    <row r="7" ht="15" customHeight="1" s="29">
      <c r="A7" s="45" t="inlineStr">
        <is>
          <t>Sesión sugerida</t>
        </is>
      </c>
      <c r="B7" s="46" t="inlineStr">
        <is>
          <t>S09</t>
        </is>
      </c>
    </row>
    <row r="8" ht="15" customHeight="1" s="29">
      <c r="A8" s="45" t="inlineStr">
        <is>
          <t>⚠ Calidad del caso</t>
        </is>
      </c>
      <c r="B8" s="48" t="inlineStr">
        <is>
          <t>Nota: se repetirá cambiando lugar de cita y turnos.</t>
        </is>
      </c>
    </row>
    <row r="9" ht="15" customHeight="1" s="29">
      <c r="A9" s="45" t="inlineStr">
        <is>
          <t>Notas originales</t>
        </is>
      </c>
      <c r="B9" s="46" t="inlineStr">
        <is>
          <t>NOTA: Se realizará un escenario similar cambiando el lugar de cita y turnos, ya que el sistema se debe comportar de forma similar.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23.85" customHeight="1" s="29">
      <c r="A13" s="34" t="n">
        <v>1</v>
      </c>
      <c r="B13" s="34" t="n"/>
      <c r="C13" s="34" t="inlineStr">
        <is>
          <t>Crear un Pedido de Seguridad indicando que no se puede cancelar el evento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Crear un detalle de pedido, con fecha de cita  nás de 72 horas a partir de la hora actual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/>
      <c r="C15" s="34" t="inlineStr">
        <is>
          <t>Marcar el detalle de pedido como que sí se puede cancelar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Guardar el detalle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/>
      <c r="C17" s="34" t="inlineStr">
        <is>
          <t>Entrar al portal con un empleado de seguridad al portal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15" customHeight="1" s="29">
      <c r="A18" s="34" t="n">
        <v>6</v>
      </c>
      <c r="B18" s="34" t="n"/>
      <c r="C18" s="34" t="inlineStr">
        <is>
          <t>Confirmar el pedido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Cancelar la confirmación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/>
      <c r="C20" s="34" t="inlineStr">
        <is>
          <t>El sistema no debe permitir realizar la cancelación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15" customHeight="1" s="29">
      <c r="A21" s="34" t="n">
        <v>9</v>
      </c>
      <c r="B21" s="34" t="n"/>
      <c r="C21" s="34" t="inlineStr">
        <is>
          <t>Editar el pedido para que permita cancelar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15" customHeight="1" s="29">
      <c r="A22" s="34" t="n">
        <v>10</v>
      </c>
      <c r="B22" s="34" t="n"/>
      <c r="C22" s="34" t="inlineStr">
        <is>
          <t>Editar el detalle para que no permita cancelar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23.85" customHeight="1" s="29">
      <c r="A23" s="34" t="n">
        <v>11</v>
      </c>
      <c r="B23" s="34" t="n"/>
      <c r="C23" s="34" t="inlineStr">
        <is>
          <t>Entrar  al portal con otro empleado de seguridad y confirmar el evento</t>
        </is>
      </c>
      <c r="D23" s="34" t="n"/>
      <c r="E23" s="34" t="n"/>
      <c r="F23" s="53" t="inlineStr">
        <is>
          <t>Sin ejecutar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15" customHeight="1" s="29">
      <c r="A24" s="34" t="n">
        <v>12</v>
      </c>
      <c r="B24" s="34" t="n"/>
      <c r="C24" s="34" t="inlineStr">
        <is>
          <t>Cancelar la confirmación</t>
        </is>
      </c>
      <c r="D24" s="34" t="n"/>
      <c r="E24" s="34" t="n"/>
      <c r="F24" s="53" t="inlineStr">
        <is>
          <t>Sin ejecutar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23.85" customHeight="1" s="29">
      <c r="A25" s="34" t="n">
        <v>13</v>
      </c>
      <c r="B25" s="34" t="n"/>
      <c r="C25" s="34" t="inlineStr">
        <is>
          <t>El sistema no debe permitir realizar la cancelación</t>
        </is>
      </c>
      <c r="D25" s="34" t="n"/>
      <c r="E25" s="34" t="n"/>
      <c r="F25" s="53" t="inlineStr">
        <is>
          <t>Sin ejecutar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15" customHeight="1" s="29">
      <c r="A26" s="34" t="n">
        <v>14</v>
      </c>
      <c r="B26" s="34" t="n"/>
      <c r="C26" s="34" t="inlineStr">
        <is>
          <t>Editar el detalle para que permita cancelar</t>
        </is>
      </c>
      <c r="D26" s="34" t="n"/>
      <c r="E26" s="34" t="n"/>
      <c r="F26" s="53" t="inlineStr">
        <is>
          <t>Sin ejecutar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15" customHeight="1" s="29">
      <c r="A27" s="34" t="n">
        <v>15</v>
      </c>
      <c r="B27" s="34" t="n"/>
      <c r="C27" s="34" t="inlineStr">
        <is>
          <t>Entrar a portal con otro empleado de seguridad</t>
        </is>
      </c>
      <c r="D27" s="34" t="n"/>
      <c r="E27" s="34" t="n"/>
      <c r="F27" s="53" t="inlineStr">
        <is>
          <t>Sin ejecutar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15" customHeight="1" s="29">
      <c r="A28" s="34" t="n">
        <v>16</v>
      </c>
      <c r="B28" s="34" t="n"/>
      <c r="C28" s="34" t="inlineStr">
        <is>
          <t>Confirmar el pedido</t>
        </is>
      </c>
      <c r="D28" s="34" t="n"/>
      <c r="E28" s="34" t="n"/>
      <c r="F28" s="53" t="inlineStr">
        <is>
          <t>Sin ejecutar</t>
        </is>
      </c>
      <c r="G28" s="53" t="n"/>
      <c r="H28" s="53" t="n"/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15" customHeight="1" s="29">
      <c r="A29" s="34" t="n">
        <v>17</v>
      </c>
      <c r="B29" s="34" t="n"/>
      <c r="C29" s="34" t="inlineStr">
        <is>
          <t>Cancelar la confirmación</t>
        </is>
      </c>
      <c r="D29" s="34" t="n"/>
      <c r="E29" s="34" t="n"/>
      <c r="F29" s="53" t="inlineStr">
        <is>
          <t>Sin ejecutar</t>
        </is>
      </c>
      <c r="G29" s="53" t="n"/>
      <c r="H29" s="53" t="n"/>
      <c r="I29" s="54" t="n"/>
      <c r="J29" s="54" t="n"/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  <row r="30" ht="15" customHeight="1" s="29">
      <c r="A30" s="34" t="n">
        <v>18</v>
      </c>
      <c r="B30" s="34" t="n"/>
      <c r="C30" s="34" t="inlineStr">
        <is>
          <t>El sistema debe permitir la cancelación</t>
        </is>
      </c>
      <c r="D30" s="34" t="n"/>
      <c r="E30" s="34" t="n"/>
      <c r="F30" s="53" t="inlineStr">
        <is>
          <t>Sin ejecutar</t>
        </is>
      </c>
      <c r="G30" s="53" t="n"/>
      <c r="H30" s="53" t="n"/>
      <c r="I30" s="54" t="n"/>
      <c r="J30" s="54" t="n"/>
      <c r="K30" s="54" t="n"/>
      <c r="L30" s="54" t="n"/>
      <c r="M30" s="54" t="n"/>
      <c r="N30" s="54" t="n"/>
      <c r="O30" s="55">
        <f>IF(M30&lt;&gt;"",M30,IF(K30&lt;&gt;"",K30,IF(I30&lt;&gt;"",I30,"")))</f>
        <v/>
      </c>
      <c r="P30" s="55">
        <f>IF(O30="","",IF(O30="PENDIENTE","Pendiente",IF(O30="NO EJECUTABLE","No ejecutable",IF(O30="VERIFICAR","Por verificar",IF(AND(F30="No cumple",O30="CUMPLE"),"Mejora",IF(AND(F30="No cumple",O30="PARCIAL"),"Mejora parcial",IF(AND(OR(F30="Cumple",F30="Sin ejecutar"),OR(O30="NO CUMPLE",O30="PARCIAL")),IF(F30="Cumple","Regresión","Falla nueva"),IF(AND(F30="No cumple",O30="NO CUMPLE"),"Sigue fallando","Se mantiene"))))))))</f>
        <v/>
      </c>
    </row>
    <row r="31" ht="23.85" customHeight="1" s="29">
      <c r="A31" s="34" t="n">
        <v>19</v>
      </c>
      <c r="B31" s="34" t="n"/>
      <c r="C31" s="34" t="inlineStr">
        <is>
          <t>Crear un nuevo detalle con fecha de cita al día siguiente (menor a 72 horas)</t>
        </is>
      </c>
      <c r="D31" s="34" t="n"/>
      <c r="E31" s="34" t="n"/>
      <c r="F31" s="53" t="inlineStr">
        <is>
          <t>Sin ejecutar</t>
        </is>
      </c>
      <c r="G31" s="53" t="n"/>
      <c r="H31" s="53" t="n"/>
      <c r="I31" s="54" t="n"/>
      <c r="J31" s="54" t="n"/>
      <c r="K31" s="54" t="n"/>
      <c r="L31" s="54" t="n"/>
      <c r="M31" s="54" t="n"/>
      <c r="N31" s="54" t="n"/>
      <c r="O31" s="55">
        <f>IF(M31&lt;&gt;"",M31,IF(K31&lt;&gt;"",K31,IF(I31&lt;&gt;"",I31,"")))</f>
        <v/>
      </c>
      <c r="P31" s="55">
        <f>IF(O31="","",IF(O31="PENDIENTE","Pendiente",IF(O31="NO EJECUTABLE","No ejecutable",IF(O31="VERIFICAR","Por verificar",IF(AND(F31="No cumple",O31="CUMPLE"),"Mejora",IF(AND(F31="No cumple",O31="PARCIAL"),"Mejora parcial",IF(AND(OR(F31="Cumple",F31="Sin ejecutar"),OR(O31="NO CUMPLE",O31="PARCIAL")),IF(F31="Cumple","Regresión","Falla nueva"),IF(AND(F31="No cumple",O31="NO CUMPLE"),"Sigue fallando","Se mantiene"))))))))</f>
        <v/>
      </c>
    </row>
    <row r="32" ht="23.85" customHeight="1" s="29">
      <c r="A32" s="34" t="n">
        <v>20</v>
      </c>
      <c r="B32" s="34" t="n"/>
      <c r="C32" s="34" t="inlineStr">
        <is>
          <t>Liberar el detalle del pedido</t>
        </is>
      </c>
      <c r="D32" s="34" t="n"/>
      <c r="E32" s="34" t="n"/>
      <c r="F32" s="53" t="inlineStr">
        <is>
          <t>Sin ejecutar</t>
        </is>
      </c>
      <c r="G32" s="53" t="inlineStr">
        <is>
          <t>Agregar un botón de liberación inmediata</t>
        </is>
      </c>
      <c r="H32" s="53" t="n"/>
      <c r="I32" s="54" t="n"/>
      <c r="J32" s="54" t="n"/>
      <c r="K32" s="54" t="n"/>
      <c r="L32" s="54" t="n"/>
      <c r="M32" s="54" t="n"/>
      <c r="N32" s="54" t="n"/>
      <c r="O32" s="55">
        <f>IF(M32&lt;&gt;"",M32,IF(K32&lt;&gt;"",K32,IF(I32&lt;&gt;"",I32,"")))</f>
        <v/>
      </c>
      <c r="P32" s="55">
        <f>IF(O32="","",IF(O32="PENDIENTE","Pendiente",IF(O32="NO EJECUTABLE","No ejecutable",IF(O32="VERIFICAR","Por verificar",IF(AND(F32="No cumple",O32="CUMPLE"),"Mejora",IF(AND(F32="No cumple",O32="PARCIAL"),"Mejora parcial",IF(AND(OR(F32="Cumple",F32="Sin ejecutar"),OR(O32="NO CUMPLE",O32="PARCIAL")),IF(F32="Cumple","Regresión","Falla nueva"),IF(AND(F32="No cumple",O32="NO CUMPLE"),"Sigue fallando","Se mantiene"))))))))</f>
        <v/>
      </c>
    </row>
    <row r="33" ht="23.85" customHeight="1" s="29">
      <c r="A33" s="34" t="n">
        <v>21</v>
      </c>
      <c r="B33" s="34" t="n"/>
      <c r="C33" s="34" t="inlineStr">
        <is>
          <t>Entrar al portal con el empleado que canceló su confirmación</t>
        </is>
      </c>
      <c r="D33" s="34" t="n"/>
      <c r="E33" s="34" t="n"/>
      <c r="F33" s="53" t="inlineStr">
        <is>
          <t>Sin ejecutar</t>
        </is>
      </c>
      <c r="G33" s="53" t="n"/>
      <c r="H33" s="53" t="n"/>
      <c r="I33" s="54" t="n"/>
      <c r="J33" s="54" t="n"/>
      <c r="K33" s="54" t="n"/>
      <c r="L33" s="54" t="n"/>
      <c r="M33" s="54" t="n"/>
      <c r="N33" s="54" t="n"/>
      <c r="O33" s="55">
        <f>IF(M33&lt;&gt;"",M33,IF(K33&lt;&gt;"",K33,IF(I33&lt;&gt;"",I33,"")))</f>
        <v/>
      </c>
      <c r="P33" s="55">
        <f>IF(O33="","",IF(O33="PENDIENTE","Pendiente",IF(O33="NO EJECUTABLE","No ejecutable",IF(O33="VERIFICAR","Por verificar",IF(AND(F33="No cumple",O33="CUMPLE"),"Mejora",IF(AND(F33="No cumple",O33="PARCIAL"),"Mejora parcial",IF(AND(OR(F33="Cumple",F33="Sin ejecutar"),OR(O33="NO CUMPLE",O33="PARCIAL")),IF(F33="Cumple","Regresión","Falla nueva"),IF(AND(F33="No cumple",O33="NO CUMPLE"),"Sigue fallando","Se mantiene"))))))))</f>
        <v/>
      </c>
    </row>
    <row r="34" ht="15" customHeight="1" s="29">
      <c r="A34" s="34" t="n">
        <v>22</v>
      </c>
      <c r="B34" s="34" t="n"/>
      <c r="C34" s="34" t="inlineStr">
        <is>
          <t>Confirmar el nuevo detalle</t>
        </is>
      </c>
      <c r="D34" s="34" t="n"/>
      <c r="E34" s="34" t="n"/>
      <c r="F34" s="53" t="inlineStr">
        <is>
          <t>Sin ejecutar</t>
        </is>
      </c>
      <c r="G34" s="53" t="n"/>
      <c r="H34" s="53" t="n"/>
      <c r="I34" s="54" t="n"/>
      <c r="J34" s="54" t="n"/>
      <c r="K34" s="54" t="n"/>
      <c r="L34" s="54" t="n"/>
      <c r="M34" s="54" t="n"/>
      <c r="N34" s="54" t="n"/>
      <c r="O34" s="55">
        <f>IF(M34&lt;&gt;"",M34,IF(K34&lt;&gt;"",K34,IF(I34&lt;&gt;"",I34,"")))</f>
        <v/>
      </c>
      <c r="P34" s="55">
        <f>IF(O34="","",IF(O34="PENDIENTE","Pendiente",IF(O34="NO EJECUTABLE","No ejecutable",IF(O34="VERIFICAR","Por verificar",IF(AND(F34="No cumple",O34="CUMPLE"),"Mejora",IF(AND(F34="No cumple",O34="PARCIAL"),"Mejora parcial",IF(AND(OR(F34="Cumple",F34="Sin ejecutar"),OR(O34="NO CUMPLE",O34="PARCIAL")),IF(F34="Cumple","Regresión","Falla nueva"),IF(AND(F34="No cumple",O34="NO CUMPLE"),"Sigue fallando","Se mantiene"))))))))</f>
        <v/>
      </c>
    </row>
    <row r="35" ht="15" customHeight="1" s="29">
      <c r="A35" s="34" t="n">
        <v>23</v>
      </c>
      <c r="B35" s="34" t="n"/>
      <c r="C35" s="34" t="inlineStr">
        <is>
          <t>Cancelar la confirmación</t>
        </is>
      </c>
      <c r="D35" s="34" t="n"/>
      <c r="E35" s="34" t="n"/>
      <c r="F35" s="53" t="inlineStr">
        <is>
          <t>Sin ejecutar</t>
        </is>
      </c>
      <c r="G35" s="53" t="n"/>
      <c r="H35" s="53" t="n"/>
      <c r="I35" s="54" t="n"/>
      <c r="J35" s="54" t="n"/>
      <c r="K35" s="54" t="n"/>
      <c r="L35" s="54" t="n"/>
      <c r="M35" s="54" t="n"/>
      <c r="N35" s="54" t="n"/>
      <c r="O35" s="55">
        <f>IF(M35&lt;&gt;"",M35,IF(K35&lt;&gt;"",K35,IF(I35&lt;&gt;"",I35,"")))</f>
        <v/>
      </c>
      <c r="P35" s="55">
        <f>IF(O35="","",IF(O35="PENDIENTE","Pendiente",IF(O35="NO EJECUTABLE","No ejecutable",IF(O35="VERIFICAR","Por verificar",IF(AND(F35="No cumple",O35="CUMPLE"),"Mejora",IF(AND(F35="No cumple",O35="PARCIAL"),"Mejora parcial",IF(AND(OR(F35="Cumple",F35="Sin ejecutar"),OR(O35="NO CUMPLE",O35="PARCIAL")),IF(F35="Cumple","Regresión","Falla nueva"),IF(AND(F35="No cumple",O35="NO CUMPLE"),"Sigue fallando","Se mantiene"))))))))</f>
        <v/>
      </c>
    </row>
    <row r="36" ht="23.85" customHeight="1" s="29">
      <c r="A36" s="34" t="n">
        <v>24</v>
      </c>
      <c r="B36" s="34" t="n"/>
      <c r="C36" s="34" t="inlineStr">
        <is>
          <t>El sistema no le debe dejar, ya que la fecha de cita es menor a 72 horas</t>
        </is>
      </c>
      <c r="D36" s="34" t="n"/>
      <c r="E36" s="34" t="n"/>
      <c r="F36" s="53" t="inlineStr">
        <is>
          <t>Sin ejecutar</t>
        </is>
      </c>
      <c r="G36" s="53" t="n"/>
      <c r="H36" s="53" t="n"/>
      <c r="I36" s="54" t="n"/>
      <c r="J36" s="54" t="n"/>
      <c r="K36" s="54" t="n"/>
      <c r="L36" s="54" t="n"/>
      <c r="M36" s="54" t="n"/>
      <c r="N36" s="54" t="n"/>
      <c r="O36" s="55">
        <f>IF(M36&lt;&gt;"",M36,IF(K36&lt;&gt;"",K36,IF(I36&lt;&gt;"",I36,"")))</f>
        <v/>
      </c>
      <c r="P36" s="55">
        <f>IF(O36="","",IF(O36="PENDIENTE","Pendiente",IF(O36="NO EJECUTABLE","No ejecutable",IF(O36="VERIFICAR","Por verificar",IF(AND(F36="No cumple",O36="CUMPLE"),"Mejora",IF(AND(F36="No cumple",O36="PARCIAL"),"Mejora parcial",IF(AND(OR(F36="Cumple",F36="Sin ejecutar"),OR(O36="NO CUMPLE",O36="PARCIAL")),IF(F36="Cumple","Regresión","Falla nueva"),IF(AND(F36="No cumple",O36="NO CUMPLE"),"Sigue fallando","Se mantiene"))))))))</f>
        <v/>
      </c>
    </row>
    <row r="37" ht="23.85" customHeight="1" s="29">
      <c r="A37" s="34" t="n">
        <v>25</v>
      </c>
      <c r="B37" s="34" t="n"/>
      <c r="C37" s="34" t="inlineStr">
        <is>
          <t>Editar el segundo detalle creado (el último), y le sumo una hora a la fecha de la cita</t>
        </is>
      </c>
      <c r="D37" s="34" t="n"/>
      <c r="E37" s="34" t="n"/>
      <c r="F37" s="53" t="inlineStr">
        <is>
          <t>Sin ejecutar</t>
        </is>
      </c>
      <c r="G37" s="53" t="n"/>
      <c r="H37" s="53" t="n"/>
      <c r="I37" s="54" t="n"/>
      <c r="J37" s="54" t="n"/>
      <c r="K37" s="54" t="n"/>
      <c r="L37" s="54" t="n"/>
      <c r="M37" s="54" t="n"/>
      <c r="N37" s="54" t="n"/>
      <c r="O37" s="55">
        <f>IF(M37&lt;&gt;"",M37,IF(K37&lt;&gt;"",K37,IF(I37&lt;&gt;"",I37,"")))</f>
        <v/>
      </c>
      <c r="P37" s="55">
        <f>IF(O37="","",IF(O37="PENDIENTE","Pendiente",IF(O37="NO EJECUTABLE","No ejecutable",IF(O37="VERIFICAR","Por verificar",IF(AND(F37="No cumple",O37="CUMPLE"),"Mejora",IF(AND(F37="No cumple",O37="PARCIAL"),"Mejora parcial",IF(AND(OR(F37="Cumple",F37="Sin ejecutar"),OR(O37="NO CUMPLE",O37="PARCIAL")),IF(F37="Cumple","Regresión","Falla nueva"),IF(AND(F37="No cumple",O37="NO CUMPLE"),"Sigue fallando","Se mantiene"))))))))</f>
        <v/>
      </c>
    </row>
    <row r="38" ht="35.05" customHeight="1" s="29">
      <c r="A38" s="34" t="n">
        <v>26</v>
      </c>
      <c r="B38" s="34" t="n"/>
      <c r="C38" s="34" t="inlineStr">
        <is>
          <t>Validar primero que se envia un correo electrónico a los confirmados avisando del cambio de horario</t>
        </is>
      </c>
      <c r="D38" s="34" t="n"/>
      <c r="E38" s="34" t="n"/>
      <c r="F38" s="53" t="inlineStr">
        <is>
          <t>Sin ejecutar</t>
        </is>
      </c>
      <c r="G38" s="53" t="n"/>
      <c r="H38" s="53" t="n"/>
      <c r="I38" s="54" t="n"/>
      <c r="J38" s="54" t="n"/>
      <c r="K38" s="54" t="n"/>
      <c r="L38" s="54" t="n"/>
      <c r="M38" s="54" t="n"/>
      <c r="N38" s="54" t="n"/>
      <c r="O38" s="55">
        <f>IF(M38&lt;&gt;"",M38,IF(K38&lt;&gt;"",K38,IF(I38&lt;&gt;"",I38,"")))</f>
        <v/>
      </c>
      <c r="P38" s="55">
        <f>IF(O38="","",IF(O38="PENDIENTE","Pendiente",IF(O38="NO EJECUTABLE","No ejecutable",IF(O38="VERIFICAR","Por verificar",IF(AND(F38="No cumple",O38="CUMPLE"),"Mejora",IF(AND(F38="No cumple",O38="PARCIAL"),"Mejora parcial",IF(AND(OR(F38="Cumple",F38="Sin ejecutar"),OR(O38="NO CUMPLE",O38="PARCIAL")),IF(F38="Cumple","Regresión","Falla nueva"),IF(AND(F38="No cumple",O38="NO CUMPLE"),"Sigue fallando","Se mantiene"))))))))</f>
        <v/>
      </c>
    </row>
    <row r="39" ht="23.85" customHeight="1" s="29">
      <c r="A39" s="34" t="n">
        <v>27</v>
      </c>
      <c r="B39" s="34" t="n"/>
      <c r="C39" s="34" t="inlineStr">
        <is>
          <t>Entrar al portal con el último empleado que confirmó</t>
        </is>
      </c>
      <c r="D39" s="34" t="n"/>
      <c r="E39" s="34" t="n"/>
      <c r="F39" s="53" t="inlineStr">
        <is>
          <t>Sin ejecutar</t>
        </is>
      </c>
      <c r="G39" s="53" t="n"/>
      <c r="H39" s="53" t="n"/>
      <c r="I39" s="54" t="n"/>
      <c r="J39" s="54" t="n"/>
      <c r="K39" s="54" t="n"/>
      <c r="L39" s="54" t="n"/>
      <c r="M39" s="54" t="n"/>
      <c r="N39" s="54" t="n"/>
      <c r="O39" s="55">
        <f>IF(M39&lt;&gt;"",M39,IF(K39&lt;&gt;"",K39,IF(I39&lt;&gt;"",I39,"")))</f>
        <v/>
      </c>
      <c r="P39" s="55">
        <f>IF(O39="","",IF(O39="PENDIENTE","Pendiente",IF(O39="NO EJECUTABLE","No ejecutable",IF(O39="VERIFICAR","Por verificar",IF(AND(F39="No cumple",O39="CUMPLE"),"Mejora",IF(AND(F39="No cumple",O39="PARCIAL"),"Mejora parcial",IF(AND(OR(F39="Cumple",F39="Sin ejecutar"),OR(O39="NO CUMPLE",O39="PARCIAL")),IF(F39="Cumple","Regresión","Falla nueva"),IF(AND(F39="No cumple",O39="NO CUMPLE"),"Sigue fallando","Se mantiene"))))))))</f>
        <v/>
      </c>
    </row>
    <row r="40" ht="15" customHeight="1" s="29">
      <c r="A40" s="34" t="n">
        <v>28</v>
      </c>
      <c r="B40" s="34" t="n"/>
      <c r="C40" s="34" t="inlineStr">
        <is>
          <t>Cancelar la confirmación</t>
        </is>
      </c>
      <c r="D40" s="34" t="n"/>
      <c r="E40" s="34" t="n"/>
      <c r="F40" s="53" t="inlineStr">
        <is>
          <t>Sin ejecutar</t>
        </is>
      </c>
      <c r="G40" s="53" t="n"/>
      <c r="H40" s="53" t="n"/>
      <c r="I40" s="54" t="n"/>
      <c r="J40" s="54" t="n"/>
      <c r="K40" s="54" t="n"/>
      <c r="L40" s="54" t="n"/>
      <c r="M40" s="54" t="n"/>
      <c r="N40" s="54" t="n"/>
      <c r="O40" s="55">
        <f>IF(M40&lt;&gt;"",M40,IF(K40&lt;&gt;"",K40,IF(I40&lt;&gt;"",I40,"")))</f>
        <v/>
      </c>
      <c r="P40" s="55">
        <f>IF(O40="","",IF(O40="PENDIENTE","Pendiente",IF(O40="NO EJECUTABLE","No ejecutable",IF(O40="VERIFICAR","Por verificar",IF(AND(F40="No cumple",O40="CUMPLE"),"Mejora",IF(AND(F40="No cumple",O40="PARCIAL"),"Mejora parcial",IF(AND(OR(F40="Cumple",F40="Sin ejecutar"),OR(O40="NO CUMPLE",O40="PARCIAL")),IF(F40="Cumple","Regresión","Falla nueva"),IF(AND(F40="No cumple",O40="NO CUMPLE"),"Sigue fallando","Se mantiene"))))))))</f>
        <v/>
      </c>
    </row>
    <row r="41" ht="23.85" customHeight="1" s="29">
      <c r="A41" s="34" t="n">
        <v>29</v>
      </c>
      <c r="B41" s="34" t="n"/>
      <c r="C41" s="34" t="inlineStr">
        <is>
          <t>El sistema le debe permitir, ya que hubo un cambio en el horario</t>
        </is>
      </c>
      <c r="D41" s="34" t="n"/>
      <c r="E41" s="34" t="n"/>
      <c r="F41" s="53" t="inlineStr">
        <is>
          <t>Sin ejecutar</t>
        </is>
      </c>
      <c r="G41" s="53" t="n"/>
      <c r="H41" s="53" t="n"/>
      <c r="I41" s="54" t="n"/>
      <c r="J41" s="54" t="n"/>
      <c r="K41" s="54" t="n"/>
      <c r="L41" s="54" t="n"/>
      <c r="M41" s="54" t="n"/>
      <c r="N41" s="54" t="n"/>
      <c r="O41" s="55">
        <f>IF(M41&lt;&gt;"",M41,IF(K41&lt;&gt;"",K41,IF(I41&lt;&gt;"",I41,"")))</f>
        <v/>
      </c>
      <c r="P41" s="55">
        <f>IF(O41="","",IF(O41="PENDIENTE","Pendiente",IF(O41="NO EJECUTABLE","No ejecutable",IF(O41="VERIFICAR","Por verificar",IF(AND(F41="No cumple",O41="CUMPLE"),"Mejora",IF(AND(F41="No cumple",O41="PARCIAL"),"Mejora parcial",IF(AND(OR(F41="Cumple",F41="Sin ejecutar"),OR(O41="NO CUMPLE",O41="PARCIAL")),IF(F41="Cumple","Regresión","Falla nueva"),IF(AND(F41="No cumple",O41="NO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41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41 K13:K41 M13:M41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P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ESC-14 — Pedido de matriciales para validar los sueldos</t>
        </is>
      </c>
    </row>
    <row r="2" ht="15" customHeight="1" s="29">
      <c r="A2" s="45" t="inlineStr">
        <is>
          <t>Núm. original</t>
        </is>
      </c>
      <c r="B2" s="46" t="inlineStr">
        <is>
          <t>Escenario 14</t>
        </is>
      </c>
      <c r="I2" s="45" t="inlineStr">
        <is>
          <t>Pasos</t>
        </is>
      </c>
      <c r="J2" s="45">
        <f>COUNT(A13:A22)</f>
        <v/>
      </c>
    </row>
    <row r="3" ht="15" customHeight="1" s="29">
      <c r="A3" s="45" t="inlineStr">
        <is>
          <t>Módulo</t>
        </is>
      </c>
      <c r="B3" s="46" t="inlineStr">
        <is>
          <t>Nómina</t>
        </is>
      </c>
      <c r="I3" s="45" t="inlineStr">
        <is>
          <t>Ejecutados (último)</t>
        </is>
      </c>
      <c r="J3" s="45">
        <f>COUNTIF(O13:O22,"?*")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el sueldo matricial en el portal del empleado (Saldos / eventos por procesar).</t>
        </is>
      </c>
      <c r="I4" s="45" t="inlineStr">
        <is>
          <t>CUMPLE (último)</t>
        </is>
      </c>
      <c r="J4" s="45">
        <f>COUNTIF(O13:O22,"CUMPLE")</f>
        <v/>
      </c>
    </row>
    <row r="5" ht="15" customHeight="1" s="29">
      <c r="A5" s="45" t="inlineStr">
        <is>
          <t>Funcionalidades</t>
        </is>
      </c>
      <c r="B5" s="46" t="inlineStr">
        <is>
          <t>Complejidad · sueldo matricial · portal Saldos · importe esperado $24,525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Empleado con puesto Asistente Operador - IN</t>
        </is>
      </c>
    </row>
    <row r="7" ht="15" customHeight="1" s="29">
      <c r="A7" s="45" t="inlineStr">
        <is>
          <t>Sesión sugerida</t>
        </is>
      </c>
      <c r="B7" s="46" t="inlineStr">
        <is>
          <t>S12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Crear un pedido de Producción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La complejidad debe ser: "Foro Sol, Festivales hasta 50000 asistientes y plazas similares"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>Duración de 2 días</t>
        </is>
      </c>
      <c r="D15" s="34" t="n"/>
      <c r="E15" s="34" t="n"/>
      <c r="F15" s="53" t="inlineStr">
        <is>
          <t>Cumple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23.85" customHeight="1" s="29">
      <c r="A16" s="34" t="n">
        <v>4</v>
      </c>
      <c r="B16" s="34" t="n"/>
      <c r="C16" s="34" t="inlineStr">
        <is>
          <t>Crear un detalle de Pedido con Puesto: "Asistente Operador - IN"</t>
        </is>
      </c>
      <c r="D16" s="34" t="n"/>
      <c r="E16" s="34" t="n"/>
      <c r="F16" s="53" t="inlineStr">
        <is>
          <t>Cumple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15" customHeight="1" s="29">
      <c r="A17" s="34" t="n">
        <v>5</v>
      </c>
      <c r="B17" s="34" t="n"/>
      <c r="C17" s="34" t="inlineStr">
        <is>
          <t>Liberar el pedido</t>
        </is>
      </c>
      <c r="D17" s="34" t="n"/>
      <c r="E17" s="34" t="n"/>
      <c r="F17" s="53" t="inlineStr">
        <is>
          <t>Cumple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>Entrar al portal con un empleado que tenga ese puesto y confirmar el evento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Dentro del portal, ir a "Saldos"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/>
      <c r="C20" s="34" t="inlineStr">
        <is>
          <t>Pulsar sobre el vínculo "Ver eventos por procesar"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23.85" customHeight="1" s="29">
      <c r="A21" s="34" t="n">
        <v>9</v>
      </c>
      <c r="B21" s="34" t="n"/>
      <c r="C21" s="34" t="inlineStr">
        <is>
          <t>Validar que aparezca los eventos confirmados no procesados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23.85" customHeight="1" s="29">
      <c r="A22" s="34" t="n">
        <v>10</v>
      </c>
      <c r="B22" s="34" t="n"/>
      <c r="C22" s="34" t="inlineStr">
        <is>
          <t>Validar que el importe para el pedido creado en este ecenario sea $24,525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2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2 K13:K22 M13:M22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P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ESC-15 — Cancelación de asignación forzada</t>
        </is>
      </c>
    </row>
    <row r="2" ht="15" customHeight="1" s="29">
      <c r="A2" s="45" t="inlineStr">
        <is>
          <t>Núm. original</t>
        </is>
      </c>
      <c r="B2" s="46" t="inlineStr">
        <is>
          <t>Escenario 15</t>
        </is>
      </c>
      <c r="I2" s="45" t="inlineStr">
        <is>
          <t>Pasos</t>
        </is>
      </c>
      <c r="J2" s="45">
        <f>COUNT(A13:A20)</f>
        <v/>
      </c>
    </row>
    <row r="3" ht="15" customHeight="1" s="29">
      <c r="A3" s="45" t="inlineStr">
        <is>
          <t>Módulo</t>
        </is>
      </c>
      <c r="B3" s="46" t="inlineStr">
        <is>
          <t>Asignaciones</t>
        </is>
      </c>
      <c r="I3" s="45" t="inlineStr">
        <is>
          <t>Ejecutados (último)</t>
        </is>
      </c>
      <c r="J3" s="45">
        <f>COUNTIF(O13:O20,"?*")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que el empleado no pueda cancelar una asignación forzada.</t>
        </is>
      </c>
      <c r="I4" s="45" t="inlineStr">
        <is>
          <t>CUMPLE (último)</t>
        </is>
      </c>
      <c r="J4" s="45">
        <f>COUNTIF(O13:O20,"CUMPLE")</f>
        <v/>
      </c>
    </row>
    <row r="5" ht="15" customHeight="1" s="29">
      <c r="A5" s="45" t="inlineStr">
        <is>
          <t>Funcionalidades</t>
        </is>
      </c>
      <c r="B5" s="46" t="inlineStr">
        <is>
          <t>Asignación forzada · cancelación desde portal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S08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23.85" customHeight="1" s="29">
      <c r="A13" s="34" t="n">
        <v>1</v>
      </c>
      <c r="B13" s="34" t="n"/>
      <c r="C13" s="34" t="inlineStr">
        <is>
          <t>Crear un pedido de seguridad que permita la cancelación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Crear un detalle de pedido que permita la cancelación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>Que la fecha de cita sea mayor a 72 horas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23.85" customHeight="1" s="29">
      <c r="A16" s="34" t="n">
        <v>4</v>
      </c>
      <c r="B16" s="34" t="n"/>
      <c r="C16" s="34" t="inlineStr">
        <is>
          <t>Realizar una asignación forzada para cualquier empleado (anotar ID)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15" customHeight="1" s="29">
      <c r="A17" s="34" t="n">
        <v>5</v>
      </c>
      <c r="B17" s="34" t="n"/>
      <c r="C17" s="34" t="inlineStr">
        <is>
          <t>Liberar pedido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>Entrar al portal con el empleado al que se le realizó la asignación forzosa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Cancelar el evento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15" customHeight="1" s="29">
      <c r="A20" s="34" t="n">
        <v>8</v>
      </c>
      <c r="B20" s="34" t="n"/>
      <c r="C20" s="34" t="inlineStr">
        <is>
          <t>Validar que el sistema no permita la cancelación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0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0 K13:K20 M13:M20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P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ESC-16 — Disminución de personal solicitado + Certeza valor</t>
        </is>
      </c>
    </row>
    <row r="2" ht="15" customHeight="1" s="29">
      <c r="A2" s="45" t="inlineStr">
        <is>
          <t>Núm. original</t>
        </is>
      </c>
      <c r="B2" s="46" t="inlineStr">
        <is>
          <t>Escenario 16</t>
        </is>
      </c>
      <c r="I2" s="45" t="inlineStr">
        <is>
          <t>Pasos</t>
        </is>
      </c>
      <c r="J2" s="45">
        <f>COUNT(A13:A29)</f>
        <v/>
      </c>
    </row>
    <row r="3" ht="15" customHeight="1" s="29">
      <c r="A3" s="45" t="inlineStr">
        <is>
          <t>Módulo</t>
        </is>
      </c>
      <c r="B3" s="46" t="inlineStr">
        <is>
          <t>Asignaciones</t>
        </is>
      </c>
      <c r="I3" s="45" t="inlineStr">
        <is>
          <t>Ejecutados (último)</t>
        </is>
      </c>
      <c r="J3" s="45">
        <f>COUNTIF(O13:O29,"?*")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que al reducir personal se cancelen primero los de menor certeza valor y luego el último confirmado.</t>
        </is>
      </c>
      <c r="I4" s="45" t="inlineStr">
        <is>
          <t>CUMPLE (último)</t>
        </is>
      </c>
      <c r="J4" s="45">
        <f>COUNTIF(O13:O29,"CUMPLE")</f>
        <v/>
      </c>
    </row>
    <row r="5" ht="15" customHeight="1" s="29">
      <c r="A5" s="45" t="inlineStr">
        <is>
          <t>Funcionalidades</t>
        </is>
      </c>
      <c r="B5" s="46" t="inlineStr">
        <is>
          <t>Reducción de cantidad · cancelación automática · prioridad por certeza y orden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Empleados ID 1, 1962, 2074, 2116, 2790, 2795</t>
        </is>
      </c>
    </row>
    <row r="7" ht="15" customHeight="1" s="29">
      <c r="A7" s="45" t="inlineStr">
        <is>
          <t>Sesión sugerida</t>
        </is>
      </c>
      <c r="B7" s="46" t="inlineStr">
        <is>
          <t>S10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Para este escenario se necesitarán 6 empleados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Tres empleados con la misma certeza valor (0.9) ID(1,1962,2074)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>Un Empleado con certeza (0.7) ID(2116)</t>
        </is>
      </c>
      <c r="D15" s="34" t="n"/>
      <c r="E15" s="34" t="n"/>
      <c r="F15" s="53" t="inlineStr">
        <is>
          <t>Cumple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Un Empleado con certeza (0.8) ID(2790)</t>
        </is>
      </c>
      <c r="D16" s="34" t="n"/>
      <c r="E16" s="34" t="n"/>
      <c r="F16" s="53" t="inlineStr">
        <is>
          <t>Cumple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15" customHeight="1" s="29">
      <c r="A17" s="34" t="n">
        <v>5</v>
      </c>
      <c r="B17" s="34" t="n"/>
      <c r="C17" s="34" t="inlineStr">
        <is>
          <t>Un empleado con certeza (1) ID( 2795)</t>
        </is>
      </c>
      <c r="D17" s="34" t="n"/>
      <c r="E17" s="34" t="n"/>
      <c r="F17" s="53" t="inlineStr">
        <is>
          <t>Cumple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15" customHeight="1" s="29">
      <c r="A18" s="34" t="n">
        <v>6</v>
      </c>
      <c r="B18" s="34" t="n"/>
      <c r="C18" s="34" t="inlineStr">
        <is>
          <t>Crear un pedido de seguridad</t>
        </is>
      </c>
      <c r="D18" s="34" t="n"/>
      <c r="E18" s="34" t="n"/>
      <c r="F18" s="53" t="inlineStr">
        <is>
          <t>Cumple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Crear un detalle con cantidad 5</t>
        </is>
      </c>
      <c r="D19" s="34" t="n"/>
      <c r="E19" s="34" t="n"/>
      <c r="F19" s="53" t="inlineStr">
        <is>
          <t>Cumple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15" customHeight="1" s="29">
      <c r="A20" s="34" t="n">
        <v>8</v>
      </c>
      <c r="B20" s="34" t="n"/>
      <c r="C20" s="34" t="inlineStr">
        <is>
          <t>Realizar las siguientes asignaciones forzadas: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15" customHeight="1" s="29">
      <c r="A21" s="34" t="n">
        <v>9</v>
      </c>
      <c r="B21" s="34" t="n"/>
      <c r="C21" s="34" t="inlineStr">
        <is>
          <t>Primero dos empleados que valgan 0.9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15" customHeight="1" s="29">
      <c r="A22" s="34" t="n">
        <v>10</v>
      </c>
      <c r="B22" s="34" t="n"/>
      <c r="C22" s="34" t="inlineStr">
        <is>
          <t>Segundo el empleado 0.8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15" customHeight="1" s="29">
      <c r="A23" s="34" t="n">
        <v>11</v>
      </c>
      <c r="B23" s="34" t="n"/>
      <c r="C23" s="34" t="inlineStr">
        <is>
          <t>Tercero el empleado 0.7</t>
        </is>
      </c>
      <c r="D23" s="34" t="n"/>
      <c r="E23" s="34" t="n"/>
      <c r="F23" s="53" t="inlineStr">
        <is>
          <t>Sin ejecutar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15" customHeight="1" s="29">
      <c r="A24" s="34" t="n">
        <v>12</v>
      </c>
      <c r="B24" s="34" t="n"/>
      <c r="C24" s="34" t="inlineStr">
        <is>
          <t>Cuarto el otro empleado 0.9</t>
        </is>
      </c>
      <c r="D24" s="34" t="n"/>
      <c r="E24" s="34" t="n"/>
      <c r="F24" s="53" t="inlineStr">
        <is>
          <t>Sin ejecutar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15" customHeight="1" s="29">
      <c r="A25" s="34" t="n">
        <v>13</v>
      </c>
      <c r="B25" s="34" t="n"/>
      <c r="C25" s="34" t="inlineStr">
        <is>
          <t>Quinto el empleado que vale 1</t>
        </is>
      </c>
      <c r="D25" s="34" t="n"/>
      <c r="E25" s="34" t="n"/>
      <c r="F25" s="53" t="inlineStr">
        <is>
          <t>Sin ejecutar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23.85" customHeight="1" s="29">
      <c r="A26" s="34" t="n">
        <v>14</v>
      </c>
      <c r="B26" s="34" t="n"/>
      <c r="C26" s="34" t="inlineStr">
        <is>
          <t>Editar el detalle de pedido y reducir la cantidad de 5 a 3</t>
        </is>
      </c>
      <c r="D26" s="34" t="n"/>
      <c r="E26" s="34" t="n"/>
      <c r="F26" s="53" t="inlineStr">
        <is>
          <t>Sin ejecutar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46.25" customHeight="1" s="29">
      <c r="A27" s="34" t="n">
        <v>15</v>
      </c>
      <c r="B27" s="34" t="n"/>
      <c r="C27" s="34" t="inlineStr">
        <is>
          <t>En automático el sistema debe cancelar a los empleados que valen 0.7 y 0.8 (Los de menor certeza valor), y el último que confirmó de valor 0.9</t>
        </is>
      </c>
      <c r="D27" s="34" t="n"/>
      <c r="E27" s="34" t="n"/>
      <c r="F27" s="53" t="inlineStr">
        <is>
          <t>Sin ejecutar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23.85" customHeight="1" s="29">
      <c r="A28" s="34" t="n">
        <v>16</v>
      </c>
      <c r="B28" s="34" t="n"/>
      <c r="C28" s="34" t="inlineStr">
        <is>
          <t>Editar el detalle de pedido y reducir la cantidad de 3 a 2</t>
        </is>
      </c>
      <c r="D28" s="34" t="n"/>
      <c r="E28" s="34" t="n"/>
      <c r="F28" s="53" t="inlineStr">
        <is>
          <t>Sin ejecutar</t>
        </is>
      </c>
      <c r="G28" s="53" t="n"/>
      <c r="H28" s="53" t="n"/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23.85" customHeight="1" s="29">
      <c r="A29" s="34" t="n">
        <v>17</v>
      </c>
      <c r="B29" s="34" t="n"/>
      <c r="C29" s="34" t="inlineStr">
        <is>
          <t>En automático el sistema debe cancelar al último que confirmó con certeza valor 0.9</t>
        </is>
      </c>
      <c r="D29" s="34" t="n"/>
      <c r="E29" s="34" t="n"/>
      <c r="F29" s="53" t="inlineStr">
        <is>
          <t>Sin ejecutar</t>
        </is>
      </c>
      <c r="G29" s="53" t="n"/>
      <c r="H29" s="53" t="n"/>
      <c r="I29" s="54" t="n"/>
      <c r="J29" s="54" t="n"/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9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9 K13:K29 M13:M29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P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ESC-17A — Prorrateo (PENDIENTE TIGRE)</t>
        </is>
      </c>
    </row>
    <row r="2" ht="15" customHeight="1" s="29">
      <c r="A2" s="45" t="inlineStr">
        <is>
          <t>Núm. original</t>
        </is>
      </c>
      <c r="B2" s="46" t="inlineStr">
        <is>
          <t>Escenario 17 (numeración duplicada)</t>
        </is>
      </c>
      <c r="I2" s="45" t="inlineStr">
        <is>
          <t>Pasos</t>
        </is>
      </c>
      <c r="J2" s="45">
        <f>COUNT(A13:A22)</f>
        <v/>
      </c>
    </row>
    <row r="3" ht="15" customHeight="1" s="29">
      <c r="A3" s="45" t="inlineStr">
        <is>
          <t>Módulo</t>
        </is>
      </c>
      <c r="B3" s="46" t="inlineStr">
        <is>
          <t>Nómina</t>
        </is>
      </c>
      <c r="I3" s="45" t="inlineStr">
        <is>
          <t>Ejecutados (último)</t>
        </is>
      </c>
      <c r="J3" s="45">
        <f>COUNTIF(O13:O22,"?*")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Prorrateo (pendiente TIGRE).</t>
        </is>
      </c>
      <c r="I4" s="45" t="inlineStr">
        <is>
          <t>CUMPLE (último)</t>
        </is>
      </c>
      <c r="J4" s="45">
        <f>COUNTIF(O13:O22,"CUMPLE")</f>
        <v/>
      </c>
    </row>
    <row r="5" ht="15" customHeight="1" s="29">
      <c r="A5" s="45" t="inlineStr">
        <is>
          <t>Funcionalidades</t>
        </is>
      </c>
      <c r="B5" s="46" t="inlineStr">
        <is>
          <t>—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S12</t>
        </is>
      </c>
    </row>
    <row r="8" ht="15" customHeight="1" s="29">
      <c r="A8" s="45" t="inlineStr">
        <is>
          <t>⚠ Calidad del caso</t>
        </is>
      </c>
      <c r="B8" s="48" t="inlineStr">
        <is>
          <t>Contenido idéntico a ESC-14. Confirmar si es duplicado o falta definir los pasos.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Crear un pedido de Producción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La complejidad debe ser: "Foro Sol, Festivales hasta 50000 asistientes y plazas similares"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>Duración de 2 días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23.85" customHeight="1" s="29">
      <c r="A16" s="34" t="n">
        <v>4</v>
      </c>
      <c r="B16" s="34" t="n"/>
      <c r="C16" s="34" t="inlineStr">
        <is>
          <t>Crear un detalle de Pedido con Puesto: "Asistente Operador - IN"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15" customHeight="1" s="29">
      <c r="A17" s="34" t="n">
        <v>5</v>
      </c>
      <c r="B17" s="34" t="n"/>
      <c r="C17" s="34" t="inlineStr">
        <is>
          <t>Liberar el pedido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>Entrar al portal con un empleado que tenga ese puesto y confirmar el evento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Dentro del portal, ir a "Saldos"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/>
      <c r="C20" s="34" t="inlineStr">
        <is>
          <t>Pulsar sobre el vínculo "Ver eventos por procesar"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23.85" customHeight="1" s="29">
      <c r="A21" s="34" t="n">
        <v>9</v>
      </c>
      <c r="B21" s="34" t="n"/>
      <c r="C21" s="34" t="inlineStr">
        <is>
          <t>Validar que aparezca los eventos confirmados no procesados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23.85" customHeight="1" s="29">
      <c r="A22" s="34" t="n">
        <v>10</v>
      </c>
      <c r="B22" s="34" t="n"/>
      <c r="C22" s="34" t="inlineStr">
        <is>
          <t>Validar que el importe para el pedido creado en este ecenario sea $24,525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2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2 K13:K22 M13:M22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P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ESC-17B — Pedido con 0.25 Turnos</t>
        </is>
      </c>
    </row>
    <row r="2" ht="15" customHeight="1" s="29">
      <c r="A2" s="45" t="inlineStr">
        <is>
          <t>Núm. original</t>
        </is>
      </c>
      <c r="B2" s="46" t="inlineStr">
        <is>
          <t>Escenario 17 (numeración duplicada)</t>
        </is>
      </c>
      <c r="I2" s="45" t="inlineStr">
        <is>
          <t>Pasos</t>
        </is>
      </c>
      <c r="J2" s="45">
        <f>COUNT(A13:A19)</f>
        <v/>
      </c>
    </row>
    <row r="3" ht="15" customHeight="1" s="29">
      <c r="A3" s="45" t="inlineStr">
        <is>
          <t>Módulo</t>
        </is>
      </c>
      <c r="B3" s="46" t="inlineStr">
        <is>
          <t>Pedidos / Nómina</t>
        </is>
      </c>
      <c r="I3" s="45" t="inlineStr">
        <is>
          <t>Ejecutados (último)</t>
        </is>
      </c>
      <c r="J3" s="45">
        <f>COUNTIF(O13:O19,"?*")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turnos fraccionados (0.25): costo de nómina y fecha fin calculada.</t>
        </is>
      </c>
      <c r="I4" s="45" t="inlineStr">
        <is>
          <t>CUMPLE (último)</t>
        </is>
      </c>
      <c r="J4" s="45">
        <f>COUNTIF(O13:O19,"CUMPLE")</f>
        <v/>
      </c>
    </row>
    <row r="5" ht="15" customHeight="1" s="29">
      <c r="A5" s="45" t="inlineStr">
        <is>
          <t>Funcionalidades</t>
        </is>
      </c>
      <c r="B5" s="46" t="inlineStr">
        <is>
          <t>Turno 0.25 · costo = cantidad × turno × sueldo base · fecha fin calculada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S06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Creo un pedido de seguridad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Creo un detalle de pedido con turno 0.25, cantidad 1 y puesto "Seguridad - IN"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/>
      <c r="C15" s="34" t="inlineStr">
        <is>
          <t>Poner una fecha inicial del día siguiente a las 9am</t>
        </is>
      </c>
      <c r="D15" s="34" t="n"/>
      <c r="E15" s="34" t="n"/>
      <c r="F15" s="53" t="inlineStr">
        <is>
          <t>Cumple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No poner fecha fin</t>
        </is>
      </c>
      <c r="D16" s="34" t="n"/>
      <c r="E16" s="34" t="n"/>
      <c r="F16" s="53" t="inlineStr">
        <is>
          <t>Cumple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15" customHeight="1" s="29">
      <c r="A17" s="34" t="n">
        <v>5</v>
      </c>
      <c r="B17" s="34" t="n"/>
      <c r="C17" s="34" t="inlineStr">
        <is>
          <t>Guardar el Detalle</t>
        </is>
      </c>
      <c r="D17" s="34" t="n"/>
      <c r="E17" s="34" t="n"/>
      <c r="F17" s="53" t="inlineStr">
        <is>
          <t>Cumple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35.05" customHeight="1" s="29">
      <c r="A18" s="34" t="n">
        <v>6</v>
      </c>
      <c r="B18" s="34" t="n"/>
      <c r="C18" s="34" t="inlineStr">
        <is>
          <t>Validar que en la cuadrícula se muestra 71.25 como costo de la nómina (Cantidad*Turno*SueldoBase)</t>
        </is>
      </c>
      <c r="D18" s="34" t="n"/>
      <c r="E18" s="34" t="n"/>
      <c r="F18" s="53" t="inlineStr">
        <is>
          <t>No cumple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/>
      <c r="C19" s="34" t="inlineStr">
        <is>
          <t>Validar que al situar el cursor sobre la cuadrícula muestra fecha fin el día siguiente 11am</t>
        </is>
      </c>
      <c r="D19" s="34" t="n"/>
      <c r="E19" s="34" t="n"/>
      <c r="F19" s="53" t="inlineStr">
        <is>
          <t>No cumple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19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19 K13:K19 M13:M19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P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ESC-18 — Lista Negra</t>
        </is>
      </c>
    </row>
    <row r="2" ht="15" customHeight="1" s="29">
      <c r="A2" s="45" t="inlineStr">
        <is>
          <t>Núm. original</t>
        </is>
      </c>
      <c r="B2" s="46" t="inlineStr">
        <is>
          <t>Escenario 18</t>
        </is>
      </c>
      <c r="I2" s="45" t="inlineStr">
        <is>
          <t>Pasos</t>
        </is>
      </c>
      <c r="J2" s="45">
        <f>COUNT(A13:A26)</f>
        <v/>
      </c>
    </row>
    <row r="3" ht="15" customHeight="1" s="29">
      <c r="A3" s="45" t="inlineStr">
        <is>
          <t>Módulo</t>
        </is>
      </c>
      <c r="B3" s="46" t="inlineStr">
        <is>
          <t>Asignaciones / Seguridad</t>
        </is>
      </c>
      <c r="I3" s="45" t="inlineStr">
        <is>
          <t>Ejecutados (último)</t>
        </is>
      </c>
      <c r="J3" s="45">
        <f>COUNTIF(O13:O26,"?*")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la lista negra: permisos de administración y bloqueo del empleado vetado por inmueble.</t>
        </is>
      </c>
      <c r="I4" s="45" t="inlineStr">
        <is>
          <t>CUMPLE (último)</t>
        </is>
      </c>
      <c r="J4" s="45">
        <f>COUNTIF(O13:O26,"CUMPLE")</f>
        <v/>
      </c>
    </row>
    <row r="5" ht="15" customHeight="1" s="29">
      <c r="A5" s="45" t="inlineStr">
        <is>
          <t>Funcionalidades</t>
        </is>
      </c>
      <c r="B5" s="46" t="inlineStr">
        <is>
          <t>Permisos por perfil · veto por inmueble · bloqueo de asignación y preasignación · visibilidad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Usuario con accesos (Arturo Pérez)</t>
        </is>
      </c>
    </row>
    <row r="7" ht="15" customHeight="1" s="29">
      <c r="A7" s="45" t="inlineStr">
        <is>
          <t>Sesión sugerida</t>
        </is>
      </c>
      <c r="B7" s="46" t="inlineStr">
        <is>
          <t>S10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23.85" customHeight="1" s="29">
      <c r="A13" s="34" t="n">
        <v>1</v>
      </c>
      <c r="B13" s="34" t="n"/>
      <c r="C13" s="34" t="inlineStr">
        <is>
          <t>Acceder a la pantalla de administración de Lista Negra con usuario de operación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15" customHeight="1" s="29">
      <c r="A14" s="34" t="n">
        <v>2</v>
      </c>
      <c r="B14" s="34" t="n"/>
      <c r="C14" s="34" t="inlineStr">
        <is>
          <t>Validar que el sistema no permita el acceso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/>
      <c r="C15" s="34" t="inlineStr">
        <is>
          <t>Acceder a la pantalla de administración de Lista Negra con usuario con accesos (Arturo Pérez)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Validar que el sistema permita el acceso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35.05" customHeight="1" s="29">
      <c r="A17" s="34" t="n">
        <v>5</v>
      </c>
      <c r="B17" s="34" t="n"/>
      <c r="C17" s="34" t="inlineStr">
        <is>
          <t>Incluir a un empleado de seguridad, fecha inicial del día en curso, y como inmuble Palacio de los Deportes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35.05" customHeight="1" s="29">
      <c r="A18" s="34" t="n">
        <v>6</v>
      </c>
      <c r="B18" s="34" t="n"/>
      <c r="C18" s="34" t="inlineStr">
        <is>
          <t>Crear un pedido de seguridad en el Palacio de los deportes (con un PEP de Palacio) y un detalle de pedido posterior al día en curso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Guardar el detalle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/>
      <c r="C20" s="34" t="inlineStr">
        <is>
          <t>Realizar una asignación forzada del empleado vetado al detalle creado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23.85" customHeight="1" s="29">
      <c r="A21" s="34" t="n">
        <v>9</v>
      </c>
      <c r="B21" s="34" t="n"/>
      <c r="C21" s="34" t="inlineStr">
        <is>
          <t>Validar que el sistema no permite realizar la asignación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15" customHeight="1" s="29">
      <c r="A22" s="34" t="n">
        <v>10</v>
      </c>
      <c r="B22" s="34" t="n"/>
      <c r="C22" s="34" t="inlineStr">
        <is>
          <t>Realizar una preasignación del empleado vetado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23.85" customHeight="1" s="29">
      <c r="A23" s="34" t="n">
        <v>11</v>
      </c>
      <c r="B23" s="34" t="n"/>
      <c r="C23" s="34" t="inlineStr">
        <is>
          <t>Validar que el sistema no permite realizar la pre-asignación</t>
        </is>
      </c>
      <c r="D23" s="34" t="n"/>
      <c r="E23" s="34" t="n"/>
      <c r="F23" s="53" t="inlineStr">
        <is>
          <t>Sin ejecutar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15" customHeight="1" s="29">
      <c r="A24" s="34" t="n">
        <v>12</v>
      </c>
      <c r="B24" s="34" t="n"/>
      <c r="C24" s="34" t="inlineStr">
        <is>
          <t>Libero el pedido</t>
        </is>
      </c>
      <c r="D24" s="34" t="n"/>
      <c r="E24" s="34" t="n"/>
      <c r="F24" s="53" t="inlineStr">
        <is>
          <t>Sin ejecutar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23.85" customHeight="1" s="29">
      <c r="A25" s="34" t="n">
        <v>13</v>
      </c>
      <c r="B25" s="34" t="n"/>
      <c r="C25" s="34" t="inlineStr">
        <is>
          <t>Entrar en la pantalla de reservaciones del empleado vetado</t>
        </is>
      </c>
      <c r="D25" s="34" t="n"/>
      <c r="E25" s="34" t="n"/>
      <c r="F25" s="53" t="inlineStr">
        <is>
          <t>Sin ejecutar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15" customHeight="1" s="29">
      <c r="A26" s="34" t="n">
        <v>14</v>
      </c>
      <c r="B26" s="34" t="n"/>
      <c r="C26" s="34" t="inlineStr">
        <is>
          <t>Validar que no se muestra el evento creado</t>
        </is>
      </c>
      <c r="D26" s="34" t="n"/>
      <c r="E26" s="34" t="n"/>
      <c r="F26" s="53" t="inlineStr">
        <is>
          <t>Sin ejecutar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6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6 K13:K26 M13:M26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P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ESC-19 — Crear pedidos de fechas pasadas</t>
        </is>
      </c>
    </row>
    <row r="2" ht="15" customHeight="1" s="29">
      <c r="A2" s="45" t="inlineStr">
        <is>
          <t>Núm. original</t>
        </is>
      </c>
      <c r="B2" s="46" t="inlineStr">
        <is>
          <t>Escenario 19</t>
        </is>
      </c>
      <c r="I2" s="45" t="inlineStr">
        <is>
          <t>Pasos</t>
        </is>
      </c>
      <c r="J2" s="45">
        <f>COUNT(A13:A22)</f>
        <v/>
      </c>
    </row>
    <row r="3" ht="15" customHeight="1" s="29">
      <c r="A3" s="45" t="inlineStr">
        <is>
          <t>Módulo</t>
        </is>
      </c>
      <c r="B3" s="46" t="inlineStr">
        <is>
          <t>Pedidos / Asignaciones</t>
        </is>
      </c>
      <c r="I3" s="45" t="inlineStr">
        <is>
          <t>Ejecutados (último)</t>
        </is>
      </c>
      <c r="J3" s="45">
        <f>COUNTIF(O13:O22,"?*")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pedidos con fechas pasadas y el bloqueo por conflicto de asignación.</t>
        </is>
      </c>
      <c r="I4" s="45" t="inlineStr">
        <is>
          <t>CUMPLE (último)</t>
        </is>
      </c>
      <c r="J4" s="45">
        <f>COUNTIF(O13:O22,"CUMPLE")</f>
        <v/>
      </c>
    </row>
    <row r="5" ht="15" customHeight="1" s="29">
      <c r="A5" s="45" t="inlineStr">
        <is>
          <t>Funcionalidades</t>
        </is>
      </c>
      <c r="B5" s="46" t="inlineStr">
        <is>
          <t>Fechas pasadas · asignación forzada · detección de conflicto con detalle causante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S06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Crear un pedido (da igual el tipo)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15" customHeight="1" s="29">
      <c r="A14" s="34" t="n">
        <v>2</v>
      </c>
      <c r="B14" s="34" t="n"/>
      <c r="C14" s="34" t="inlineStr">
        <is>
          <t>Elegir cualquier PEP para el pedido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/>
      <c r="C15" s="34" t="inlineStr">
        <is>
          <t>Crear un detalle de pedido con fecha inicio la semana anterior, y fecha fin dos días después</t>
        </is>
      </c>
      <c r="D15" s="34" t="n"/>
      <c r="E15" s="34" t="n"/>
      <c r="F15" s="53" t="inlineStr">
        <is>
          <t>Cumple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Guardar el detalle del pedido</t>
        </is>
      </c>
      <c r="D16" s="34" t="n"/>
      <c r="E16" s="34" t="n"/>
      <c r="F16" s="53" t="inlineStr">
        <is>
          <t>Cumple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/>
      <c r="C17" s="34" t="inlineStr">
        <is>
          <t>Realizar una asignación forzada de cualquier empleado</t>
        </is>
      </c>
      <c r="D17" s="34" t="n"/>
      <c r="E17" s="34" t="n"/>
      <c r="F17" s="53" t="inlineStr">
        <is>
          <t>No cumple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>El sistema debe permitir realizar la asignación forzada</t>
        </is>
      </c>
      <c r="D18" s="34" t="n"/>
      <c r="E18" s="34" t="n"/>
      <c r="F18" s="53" t="inlineStr">
        <is>
          <t>No cumple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/>
      <c r="C19" s="34" t="inlineStr">
        <is>
          <t>Crear un nuevo pedido con las mismas fechas de inicio y fin</t>
        </is>
      </c>
      <c r="D19" s="34" t="n"/>
      <c r="E19" s="34" t="n"/>
      <c r="F19" s="53" t="inlineStr">
        <is>
          <t>No cumple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15" customHeight="1" s="29">
      <c r="A20" s="34" t="n">
        <v>8</v>
      </c>
      <c r="B20" s="34" t="n"/>
      <c r="C20" s="34" t="inlineStr">
        <is>
          <t>Guardar el detalle del pedido</t>
        </is>
      </c>
      <c r="D20" s="34" t="n"/>
      <c r="E20" s="34" t="n"/>
      <c r="F20" s="53" t="inlineStr">
        <is>
          <t>No cumple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23.85" customHeight="1" s="29">
      <c r="A21" s="34" t="n">
        <v>9</v>
      </c>
      <c r="B21" s="34" t="n"/>
      <c r="C21" s="34" t="inlineStr">
        <is>
          <t>Realizar una asignación forzada del mismo empleado</t>
        </is>
      </c>
      <c r="D21" s="34" t="n"/>
      <c r="E21" s="34" t="n"/>
      <c r="F21" s="53" t="inlineStr">
        <is>
          <t>No cumple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46.25" customHeight="1" s="29">
      <c r="A22" s="34" t="n">
        <v>10</v>
      </c>
      <c r="B22" s="34" t="n"/>
      <c r="C22" s="34" t="inlineStr">
        <is>
          <t>Validar que el sistema no permita realizar la asignación ya que tiene confirmado un evento para esas fechas (Mostrando el detalle que causa conflicto)</t>
        </is>
      </c>
      <c r="D22" s="34" t="n"/>
      <c r="E22" s="34" t="n"/>
      <c r="F22" s="53" t="inlineStr">
        <is>
          <t>No cumple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2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2 K13:K22 M13:M22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P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ESC-20 — Relación de contacto-cliente</t>
        </is>
      </c>
    </row>
    <row r="2" ht="15" customHeight="1" s="29">
      <c r="A2" s="45" t="inlineStr">
        <is>
          <t>Núm. original</t>
        </is>
      </c>
      <c r="B2" s="46" t="inlineStr">
        <is>
          <t>Escenario 20</t>
        </is>
      </c>
      <c r="I2" s="45" t="inlineStr">
        <is>
          <t>Pasos</t>
        </is>
      </c>
      <c r="J2" s="45">
        <f>COUNT(A13:A20)</f>
        <v/>
      </c>
    </row>
    <row r="3" ht="15" customHeight="1" s="29">
      <c r="A3" s="45" t="inlineStr">
        <is>
          <t>Módulo</t>
        </is>
      </c>
      <c r="B3" s="46" t="inlineStr">
        <is>
          <t>Pedidos</t>
        </is>
      </c>
      <c r="I3" s="45" t="inlineStr">
        <is>
          <t>Ejecutados (último)</t>
        </is>
      </c>
      <c r="J3" s="45">
        <f>COUNTIF(O13:O20,"?*")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el alta de contactos y su relación con el cliente.</t>
        </is>
      </c>
      <c r="I4" s="45" t="inlineStr">
        <is>
          <t>CUMPLE (último)</t>
        </is>
      </c>
      <c r="J4" s="45">
        <f>COUNTIF(O13:O20,"CUMPLE")</f>
        <v/>
      </c>
    </row>
    <row r="5" ht="15" customHeight="1" s="29">
      <c r="A5" s="45" t="inlineStr">
        <is>
          <t>Funcionalidades</t>
        </is>
      </c>
      <c r="B5" s="46" t="inlineStr">
        <is>
          <t>Alta de contacto · permisos (usuario Axel) · relación contacto-cliente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Usuario de Axel</t>
        </is>
      </c>
    </row>
    <row r="7" ht="15" customHeight="1" s="29">
      <c r="A7" s="45" t="inlineStr">
        <is>
          <t>Sesión sugerida</t>
        </is>
      </c>
      <c r="B7" s="46" t="inlineStr">
        <is>
          <t>S06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23.85" customHeight="1" s="29">
      <c r="A13" s="34" t="n">
        <v>1</v>
      </c>
      <c r="B13" s="34" t="n"/>
      <c r="C13" s="34" t="inlineStr">
        <is>
          <t>Aceeder a la pantalla de creación de contactos (sólo con el usuario de Axel)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15" customHeight="1" s="29">
      <c r="A14" s="34" t="n">
        <v>2</v>
      </c>
      <c r="B14" s="34" t="n"/>
      <c r="C14" s="34" t="inlineStr">
        <is>
          <t>Crear un nuevo contacto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>Crear un nuevo pedido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Seleccionar un cliente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/>
      <c r="C17" s="34" t="inlineStr">
        <is>
          <t>Validar que no existe el nuevo contacto en el listado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15" customHeight="1" s="29">
      <c r="A18" s="34" t="n">
        <v>6</v>
      </c>
      <c r="B18" s="34" t="n"/>
      <c r="C18" s="34" t="inlineStr">
        <is>
          <t>Pulsar sobre agregar contacto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Validar que aparece el nuevo contacto creado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15" customHeight="1" s="29">
      <c r="A20" s="34" t="n">
        <v>8</v>
      </c>
      <c r="B20" s="34" t="n"/>
      <c r="C20" s="34" t="inlineStr">
        <is>
          <t>Agregar el nuevo contacto al cliente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0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0 K13:K20 M13:M20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P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ESC-21 — Validar funcionalidad pantalla interna de reservaciones (Igual a la actual)</t>
        </is>
      </c>
    </row>
    <row r="2" ht="15" customHeight="1" s="29">
      <c r="A2" s="45" t="inlineStr">
        <is>
          <t>Núm. original</t>
        </is>
      </c>
      <c r="B2" s="46" t="inlineStr">
        <is>
          <t>Escenario 21</t>
        </is>
      </c>
      <c r="I2" s="45" t="inlineStr">
        <is>
          <t>Pasos</t>
        </is>
      </c>
      <c r="J2" s="45">
        <f>COUNT(A13:A34)</f>
        <v/>
      </c>
    </row>
    <row r="3" ht="15" customHeight="1" s="29">
      <c r="A3" s="45" t="inlineStr">
        <is>
          <t>Módulo</t>
        </is>
      </c>
      <c r="B3" s="46" t="inlineStr">
        <is>
          <t>Reservaciones</t>
        </is>
      </c>
      <c r="I3" s="45" t="inlineStr">
        <is>
          <t>Ejecutados (último)</t>
        </is>
      </c>
      <c r="J3" s="45">
        <f>COUNTIF(O13:O34,"?*")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la pantalla interna de reservaciones con paridad funcional respecto al legado.</t>
        </is>
      </c>
      <c r="I4" s="45" t="inlineStr">
        <is>
          <t>CUMPLE (último)</t>
        </is>
      </c>
      <c r="J4" s="45">
        <f>COUNTIF(O13:O34,"CUMPLE")</f>
        <v/>
      </c>
    </row>
    <row r="5" ht="15" customHeight="1" s="29">
      <c r="A5" s="45" t="inlineStr">
        <is>
          <t>Funcionalidades</t>
        </is>
      </c>
      <c r="B5" s="46" t="inlineStr">
        <is>
          <t>Búsqueda de empleado · datos del empleado · colores de eventos · detalle · confirmación/cancelación por permisos · árbol de sucursales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S11</t>
        </is>
      </c>
    </row>
    <row r="8" ht="15" customHeight="1" s="29">
      <c r="A8" s="45" t="inlineStr">
        <is>
          <t>⚠ Calidad del caso</t>
        </is>
      </c>
      <c r="B8" s="48" t="inlineStr">
        <is>
          <t>El árbol esperado está como imagen en el archivo original.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Buscar un empleado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Validar que muestra la siguiente información del empleado: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 xml:space="preserve">   • Puestos asignados vigentes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 xml:space="preserve">   • Sucursal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15" customHeight="1" s="29">
      <c r="A17" s="34" t="n">
        <v>5</v>
      </c>
      <c r="B17" s="34" t="n"/>
      <c r="C17" s="34" t="inlineStr">
        <is>
          <t xml:space="preserve">   • Género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15" customHeight="1" s="29">
      <c r="A18" s="34" t="n">
        <v>6</v>
      </c>
      <c r="B18" s="34" t="n"/>
      <c r="C18" s="34" t="inlineStr">
        <is>
          <t xml:space="preserve">   • % de puntualidad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 xml:space="preserve">   • Estatus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/>
      <c r="C20" s="34" t="inlineStr">
        <is>
          <t xml:space="preserve">   • Nombre del empleado (Validar que sea un vínculo al catálogo de empleados)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15" customHeight="1" s="29">
      <c r="A21" s="34" t="n">
        <v>9</v>
      </c>
      <c r="B21" s="34" t="n"/>
      <c r="C21" s="34" t="inlineStr">
        <is>
          <t xml:space="preserve">   • Eventos disponibles (Color Verde)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23.85" customHeight="1" s="29">
      <c r="A22" s="34" t="n">
        <v>10</v>
      </c>
      <c r="B22" s="34" t="n"/>
      <c r="C22" s="34" t="inlineStr">
        <is>
          <t xml:space="preserve">   • Eventos disponibles no liberados (Color Negro)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15" customHeight="1" s="29">
      <c r="A23" s="34" t="n">
        <v>11</v>
      </c>
      <c r="B23" s="34" t="n"/>
      <c r="C23" s="34" t="inlineStr">
        <is>
          <t xml:space="preserve">   • Eventos Pre-Asignados (Color Naranja)</t>
        </is>
      </c>
      <c r="D23" s="34" t="n"/>
      <c r="E23" s="34" t="n"/>
      <c r="F23" s="53" t="inlineStr">
        <is>
          <t>Sin ejecutar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15" customHeight="1" s="29">
      <c r="A24" s="34" t="n">
        <v>12</v>
      </c>
      <c r="B24" s="34" t="n"/>
      <c r="C24" s="34" t="inlineStr">
        <is>
          <t xml:space="preserve">   • Eventos Confirmados (Color Morado)</t>
        </is>
      </c>
      <c r="D24" s="34" t="n"/>
      <c r="E24" s="34" t="n"/>
      <c r="F24" s="53" t="inlineStr">
        <is>
          <t>Sin ejecutar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23.85" customHeight="1" s="29">
      <c r="A25" s="34" t="n">
        <v>13</v>
      </c>
      <c r="B25" s="34" t="n"/>
      <c r="C25" s="34" t="inlineStr">
        <is>
          <t xml:space="preserve">   • Eventos en los que actualmente está trabajando (Color verde)</t>
        </is>
      </c>
      <c r="D25" s="34" t="n"/>
      <c r="E25" s="34" t="n"/>
      <c r="F25" s="53" t="inlineStr">
        <is>
          <t>Sin ejecutar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35.05" customHeight="1" s="29">
      <c r="A26" s="34" t="n">
        <v>14</v>
      </c>
      <c r="B26" s="34" t="n"/>
      <c r="C26" s="34" t="inlineStr">
        <is>
          <t>Validar que pulsando sobre cualquier evento (disponible o confirmado) muetra el detalle del pedido</t>
        </is>
      </c>
      <c r="D26" s="34" t="n"/>
      <c r="E26" s="34" t="n"/>
      <c r="F26" s="53" t="inlineStr">
        <is>
          <t>Sin ejecutar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46.25" customHeight="1" s="29">
      <c r="A27" s="34" t="n">
        <v>15</v>
      </c>
      <c r="B27" s="34" t="n"/>
      <c r="C27" s="34" t="inlineStr">
        <is>
          <t>A parte del detale del pedido, validar que se muetra un listado con los empleados confirmados y los empleados disponibles (Por puesto y empalme)</t>
        </is>
      </c>
      <c r="D27" s="34" t="n"/>
      <c r="E27" s="34" t="n"/>
      <c r="F27" s="53" t="inlineStr">
        <is>
          <t>Sin ejecutar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15" customHeight="1" s="29">
      <c r="A28" s="34" t="n">
        <v>16</v>
      </c>
      <c r="B28" s="34" t="n"/>
      <c r="C28" s="34" t="inlineStr">
        <is>
          <t>Pulsar sobre un evento disponible</t>
        </is>
      </c>
      <c r="D28" s="34" t="n"/>
      <c r="E28" s="34" t="n"/>
      <c r="F28" s="53" t="inlineStr">
        <is>
          <t>Sin ejecutar</t>
        </is>
      </c>
      <c r="G28" s="53" t="n"/>
      <c r="H28" s="53" t="n"/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35.05" customHeight="1" s="29">
      <c r="A29" s="34" t="n">
        <v>17</v>
      </c>
      <c r="B29" s="34" t="n"/>
      <c r="C29" s="34" t="inlineStr">
        <is>
          <t>Validar que en función de los permisos se muestra el botón de confirmación forzada o confirmación pre-asignada</t>
        </is>
      </c>
      <c r="D29" s="34" t="n"/>
      <c r="E29" s="34" t="n"/>
      <c r="F29" s="53" t="inlineStr">
        <is>
          <t>Sin ejecutar</t>
        </is>
      </c>
      <c r="G29" s="53" t="n"/>
      <c r="H29" s="53" t="n"/>
      <c r="I29" s="54" t="n"/>
      <c r="J29" s="54" t="n"/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  <row r="30" ht="23.85" customHeight="1" s="29">
      <c r="A30" s="34" t="n">
        <v>18</v>
      </c>
      <c r="B30" s="34" t="n"/>
      <c r="C30" s="34" t="inlineStr">
        <is>
          <t>Realizar una asignación forzada (evento-Empleado)</t>
        </is>
      </c>
      <c r="D30" s="34" t="n"/>
      <c r="E30" s="34" t="n"/>
      <c r="F30" s="53" t="inlineStr">
        <is>
          <t>Sin ejecutar</t>
        </is>
      </c>
      <c r="G30" s="53" t="n"/>
      <c r="H30" s="53" t="n"/>
      <c r="I30" s="54" t="n"/>
      <c r="J30" s="54" t="n"/>
      <c r="K30" s="54" t="n"/>
      <c r="L30" s="54" t="n"/>
      <c r="M30" s="54" t="n"/>
      <c r="N30" s="54" t="n"/>
      <c r="O30" s="55">
        <f>IF(M30&lt;&gt;"",M30,IF(K30&lt;&gt;"",K30,IF(I30&lt;&gt;"",I30,"")))</f>
        <v/>
      </c>
      <c r="P30" s="55">
        <f>IF(O30="","",IF(O30="PENDIENTE","Pendiente",IF(O30="NO EJECUTABLE","No ejecutable",IF(O30="VERIFICAR","Por verificar",IF(AND(F30="No cumple",O30="CUMPLE"),"Mejora",IF(AND(F30="No cumple",O30="PARCIAL"),"Mejora parcial",IF(AND(OR(F30="Cumple",F30="Sin ejecutar"),OR(O30="NO CUMPLE",O30="PARCIAL")),IF(F30="Cumple","Regresión","Falla nueva"),IF(AND(F30="No cumple",O30="NO CUMPLE"),"Sigue fallando","Se mantiene"))))))))</f>
        <v/>
      </c>
    </row>
    <row r="31" ht="15" customHeight="1" s="29">
      <c r="A31" s="34" t="n">
        <v>19</v>
      </c>
      <c r="B31" s="34" t="n"/>
      <c r="C31" s="34" t="inlineStr">
        <is>
          <t>Pulsar sobre un evento confirmado</t>
        </is>
      </c>
      <c r="D31" s="34" t="n"/>
      <c r="E31" s="34" t="n"/>
      <c r="F31" s="53" t="inlineStr">
        <is>
          <t>Sin ejecutar</t>
        </is>
      </c>
      <c r="G31" s="53" t="n"/>
      <c r="H31" s="53" t="n"/>
      <c r="I31" s="54" t="n"/>
      <c r="J31" s="54" t="n"/>
      <c r="K31" s="54" t="n"/>
      <c r="L31" s="54" t="n"/>
      <c r="M31" s="54" t="n"/>
      <c r="N31" s="54" t="n"/>
      <c r="O31" s="55">
        <f>IF(M31&lt;&gt;"",M31,IF(K31&lt;&gt;"",K31,IF(I31&lt;&gt;"",I31,"")))</f>
        <v/>
      </c>
      <c r="P31" s="55">
        <f>IF(O31="","",IF(O31="PENDIENTE","Pendiente",IF(O31="NO EJECUTABLE","No ejecutable",IF(O31="VERIFICAR","Por verificar",IF(AND(F31="No cumple",O31="CUMPLE"),"Mejora",IF(AND(F31="No cumple",O31="PARCIAL"),"Mejora parcial",IF(AND(OR(F31="Cumple",F31="Sin ejecutar"),OR(O31="NO CUMPLE",O31="PARCIAL")),IF(F31="Cumple","Regresión","Falla nueva"),IF(AND(F31="No cumple",O31="NO CUMPLE"),"Sigue fallando","Se mantiene"))))))))</f>
        <v/>
      </c>
    </row>
    <row r="32" ht="23.85" customHeight="1" s="29">
      <c r="A32" s="34" t="n">
        <v>20</v>
      </c>
      <c r="B32" s="34" t="n"/>
      <c r="C32" s="34" t="inlineStr">
        <is>
          <t>Validar que en función de los permisos, se muestra el botón de cancelar</t>
        </is>
      </c>
      <c r="D32" s="34" t="n"/>
      <c r="E32" s="34" t="n"/>
      <c r="F32" s="53" t="inlineStr">
        <is>
          <t>Sin ejecutar</t>
        </is>
      </c>
      <c r="G32" s="53" t="n"/>
      <c r="H32" s="53" t="n"/>
      <c r="I32" s="54" t="n"/>
      <c r="J32" s="54" t="n"/>
      <c r="K32" s="54" t="n"/>
      <c r="L32" s="54" t="n"/>
      <c r="M32" s="54" t="n"/>
      <c r="N32" s="54" t="n"/>
      <c r="O32" s="55">
        <f>IF(M32&lt;&gt;"",M32,IF(K32&lt;&gt;"",K32,IF(I32&lt;&gt;"",I32,"")))</f>
        <v/>
      </c>
      <c r="P32" s="55">
        <f>IF(O32="","",IF(O32="PENDIENTE","Pendiente",IF(O32="NO EJECUTABLE","No ejecutable",IF(O32="VERIFICAR","Por verificar",IF(AND(F32="No cumple",O32="CUMPLE"),"Mejora",IF(AND(F32="No cumple",O32="PARCIAL"),"Mejora parcial",IF(AND(OR(F32="Cumple",F32="Sin ejecutar"),OR(O32="NO CUMPLE",O32="PARCIAL")),IF(F32="Cumple","Regresión","Falla nueva"),IF(AND(F32="No cumple",O32="NO CUMPLE"),"Sigue fallando","Se mantiene"))))))))</f>
        <v/>
      </c>
    </row>
    <row r="33" ht="23.85" customHeight="1" s="29">
      <c r="A33" s="34" t="n">
        <v>21</v>
      </c>
      <c r="B33" s="34" t="n"/>
      <c r="C33" s="34" t="inlineStr">
        <is>
          <t>Cancelar confirmación (Validar que sigue la misma lógica de las cancelaciones)</t>
        </is>
      </c>
      <c r="D33" s="34" t="n"/>
      <c r="E33" s="34" t="n"/>
      <c r="F33" s="53" t="inlineStr">
        <is>
          <t>Sin ejecutar</t>
        </is>
      </c>
      <c r="G33" s="53" t="n"/>
      <c r="H33" s="53" t="n"/>
      <c r="I33" s="54" t="n"/>
      <c r="J33" s="54" t="n"/>
      <c r="K33" s="54" t="n"/>
      <c r="L33" s="54" t="n"/>
      <c r="M33" s="54" t="n"/>
      <c r="N33" s="54" t="n"/>
      <c r="O33" s="55">
        <f>IF(M33&lt;&gt;"",M33,IF(K33&lt;&gt;"",K33,IF(I33&lt;&gt;"",I33,"")))</f>
        <v/>
      </c>
      <c r="P33" s="55">
        <f>IF(O33="","",IF(O33="PENDIENTE","Pendiente",IF(O33="NO EJECUTABLE","No ejecutable",IF(O33="VERIFICAR","Por verificar",IF(AND(F33="No cumple",O33="CUMPLE"),"Mejora",IF(AND(F33="No cumple",O33="PARCIAL"),"Mejora parcial",IF(AND(OR(F33="Cumple",F33="Sin ejecutar"),OR(O33="NO CUMPLE",O33="PARCIAL")),IF(F33="Cumple","Regresión","Falla nueva"),IF(AND(F33="No cumple",O33="NO CUMPLE"),"Sigue fallando","Se mantiene"))))))))</f>
        <v/>
      </c>
    </row>
    <row r="34" ht="23.85" customHeight="1" s="29">
      <c r="A34" s="34" t="n">
        <v>22</v>
      </c>
      <c r="B34" s="34" t="n"/>
      <c r="C34" s="34" t="inlineStr">
        <is>
          <t>Validar que aparezca el árbol con las sucursales, eventos, y estado los pedidos</t>
        </is>
      </c>
      <c r="D34" s="34" t="n"/>
      <c r="E34" s="34" t="n"/>
      <c r="F34" s="53" t="inlineStr">
        <is>
          <t>Sin ejecutar</t>
        </is>
      </c>
      <c r="G34" s="53" t="n"/>
      <c r="H34" s="53" t="n"/>
      <c r="I34" s="54" t="n"/>
      <c r="J34" s="54" t="n"/>
      <c r="K34" s="54" t="n"/>
      <c r="L34" s="54" t="n"/>
      <c r="M34" s="54" t="n"/>
      <c r="N34" s="54" t="n"/>
      <c r="O34" s="55">
        <f>IF(M34&lt;&gt;"",M34,IF(K34&lt;&gt;"",K34,IF(I34&lt;&gt;"",I34,"")))</f>
        <v/>
      </c>
      <c r="P34" s="55">
        <f>IF(O34="","",IF(O34="PENDIENTE","Pendiente",IF(O34="NO EJECUTABLE","No ejecutable",IF(O34="VERIFICAR","Por verificar",IF(AND(F34="No cumple",O34="CUMPLE"),"Mejora",IF(AND(F34="No cumple",O34="PARCIAL"),"Mejora parcial",IF(AND(OR(F34="Cumple",F34="Sin ejecutar"),OR(O34="NO CUMPLE",O34="PARCIAL")),IF(F34="Cumple","Regresión","Falla nueva"),IF(AND(F34="No cumple",O34="NO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34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34 K13:K34 M13:M34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P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ESC-22 — Captura de lista manual de asistencia</t>
        </is>
      </c>
    </row>
    <row r="2" ht="15" customHeight="1" s="29">
      <c r="A2" s="45" t="inlineStr">
        <is>
          <t>Núm. original</t>
        </is>
      </c>
      <c r="B2" s="46" t="inlineStr">
        <is>
          <t>Escenario 22</t>
        </is>
      </c>
      <c r="I2" s="45" t="inlineStr">
        <is>
          <t>Pasos</t>
        </is>
      </c>
      <c r="J2" s="45">
        <f>COUNT(A13:A79)</f>
        <v/>
      </c>
    </row>
    <row r="3" ht="15" customHeight="1" s="29">
      <c r="A3" s="45" t="inlineStr">
        <is>
          <t>Módulo</t>
        </is>
      </c>
      <c r="B3" s="46" t="inlineStr">
        <is>
          <t>Nómina</t>
        </is>
      </c>
      <c r="I3" s="45" t="inlineStr">
        <is>
          <t>Ejecutados (último)</t>
        </is>
      </c>
      <c r="J3" s="45">
        <f>COUNTIF(O13:O79,"?*")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la lista manual de asistencia y el cálculo de pagos honorarios (asistencia, falta, retardo) con valores exactos.</t>
        </is>
      </c>
      <c r="I4" s="45" t="inlineStr">
        <is>
          <t>CUMPLE (último)</t>
        </is>
      </c>
      <c r="J4" s="45">
        <f>COUNTIF(O13:O79,"CUMPLE")</f>
        <v/>
      </c>
    </row>
    <row r="5" ht="15" customHeight="1" s="29">
      <c r="A5" s="45" t="inlineStr">
        <is>
          <t>Funcionalidades</t>
        </is>
      </c>
      <c r="B5" s="46" t="inlineStr">
        <is>
          <t>Lista manual · pagos honorarios · cálculo de impuestos y neto · penalización por retardo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Pedido pasado con 10 empleados asignados (forzada)</t>
        </is>
      </c>
    </row>
    <row r="7" ht="15" customHeight="1" s="29">
      <c r="A7" s="45" t="inlineStr">
        <is>
          <t>Sesión sugerida</t>
        </is>
      </c>
      <c r="B7" s="46" t="inlineStr">
        <is>
          <t>S13</t>
        </is>
      </c>
    </row>
    <row r="8" ht="15" customHeight="1" s="29">
      <c r="A8" s="45" t="inlineStr">
        <is>
          <t>⚠ Calidad del caso</t>
        </is>
      </c>
      <c r="B8" s="48" t="inlineStr">
        <is>
          <t>Combinaciones con 'Penalización Retardo/Falta' mencionadas pero sin pasos.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46.25" customHeight="1" s="29">
      <c r="A13" s="34" t="n">
        <v>1</v>
      </c>
      <c r="B13" s="34" t="n"/>
      <c r="C13" s="34" t="inlineStr">
        <is>
          <t>Para este escenario, será necesario crear un pedido de seguridad con fecha anterior al día en curso con un detalle, y que acepte productos similares.</t>
        </is>
      </c>
      <c r="D13" s="34" t="n"/>
      <c r="E13" s="34" t="n"/>
      <c r="F13" s="53" t="inlineStr">
        <is>
          <t>Cumple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Acceder a la pantalla para la captura de lista manual de asistencia</t>
        </is>
      </c>
      <c r="D14" s="34" t="n"/>
      <c r="E14" s="34" t="n"/>
      <c r="F14" s="53" t="inlineStr">
        <is>
          <t>Cumple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/>
      <c r="C15" s="34" t="inlineStr">
        <is>
          <t>Se deben visualizar los 10 empleados a los que se le realizó la asignación forzada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Todos deben tener por defecto "Asistencia"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15" customHeight="1" s="29">
      <c r="A17" s="34" t="n">
        <v>5</v>
      </c>
      <c r="B17" s="34" t="n"/>
      <c r="C17" s="34" t="inlineStr">
        <is>
          <t>Marcar a dos de los empleados como "Falta"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15" customHeight="1" s="29">
      <c r="A18" s="34" t="n">
        <v>6</v>
      </c>
      <c r="B18" s="34" t="n"/>
      <c r="C18" s="34" t="inlineStr">
        <is>
          <t>Marcar a uno de los empleados como "Retardo"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Todos los demás deben tener "Asistencia"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15" customHeight="1" s="29">
      <c r="A20" s="34" t="n">
        <v>8</v>
      </c>
      <c r="B20" s="34" t="n"/>
      <c r="C20" s="34" t="inlineStr">
        <is>
          <t>Guardar la lista de asistencia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15" customHeight="1" s="29">
      <c r="A21" s="34" t="n">
        <v>9</v>
      </c>
      <c r="B21" s="34" t="n"/>
      <c r="C21" s="34" t="inlineStr">
        <is>
          <t>Ir a la pantalla de "Pagos Honorarios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35.05" customHeight="1" s="29">
      <c r="A22" s="34" t="n">
        <v>10</v>
      </c>
      <c r="B22" s="34" t="n"/>
      <c r="C22" s="34" t="inlineStr">
        <is>
          <t>Validar que los 10 empleados a los que se le ha procesado el pago aparecen los primeros y con "Periodo de Pago" 0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46.25" customHeight="1" s="29">
      <c r="A23" s="34" t="n">
        <v>11</v>
      </c>
      <c r="B23" s="34" t="n"/>
      <c r="C23" s="34" t="inlineStr">
        <is>
          <t>Validar que en la pantalla se muestre el Régimen , Número de Cuenta, Pago Bruto, Pago Neto, Unidad de Negocio, Solicitud de Pago, Empresa Pagadora</t>
        </is>
      </c>
      <c r="D23" s="34" t="n"/>
      <c r="E23" s="34" t="n"/>
      <c r="F23" s="53" t="inlineStr">
        <is>
          <t>Sin ejecutar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23.85" customHeight="1" s="29">
      <c r="A24" s="34" t="n">
        <v>12</v>
      </c>
      <c r="B24" s="34" t="n"/>
      <c r="C24" s="34" t="inlineStr">
        <is>
          <t>Entrar al detalle del empleado de Control de Accesos y/o Anfitrión con Asistencia</t>
        </is>
      </c>
      <c r="D24" s="34" t="n"/>
      <c r="E24" s="34" t="n"/>
      <c r="F24" s="53" t="inlineStr">
        <is>
          <t>Sin ejecutar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15" customHeight="1" s="29">
      <c r="A25" s="34" t="n">
        <v>13</v>
      </c>
      <c r="B25" s="34" t="n"/>
      <c r="C25" s="34" t="inlineStr">
        <is>
          <t>Validar los siguientes valores:</t>
        </is>
      </c>
      <c r="D25" s="34" t="n"/>
      <c r="E25" s="34" t="n"/>
      <c r="F25" s="53" t="inlineStr">
        <is>
          <t>Sin ejecutar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15" customHeight="1" s="29">
      <c r="A26" s="34" t="n">
        <v>14</v>
      </c>
      <c r="B26" s="34" t="n"/>
      <c r="C26" s="34" t="inlineStr">
        <is>
          <t>Validar Pago Bruto</t>
        </is>
      </c>
      <c r="D26" s="34" t="n">
        <v>285</v>
      </c>
      <c r="E26" s="34" t="n"/>
      <c r="F26" s="53" t="inlineStr">
        <is>
          <t>Sin ejecutar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15" customHeight="1" s="29">
      <c r="A27" s="34" t="n">
        <v>15</v>
      </c>
      <c r="B27" s="34" t="n"/>
      <c r="C27" s="34" t="inlineStr">
        <is>
          <t>Validar SDP</t>
        </is>
      </c>
      <c r="D27" s="34" t="n">
        <v>285</v>
      </c>
      <c r="E27" s="34" t="n"/>
      <c r="F27" s="53" t="inlineStr">
        <is>
          <t>Sin ejecutar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15" customHeight="1" s="29">
      <c r="A28" s="34" t="n">
        <v>16</v>
      </c>
      <c r="B28" s="34" t="n"/>
      <c r="C28" s="34" t="inlineStr">
        <is>
          <t>Validar IM</t>
        </is>
      </c>
      <c r="D28" s="34" t="n">
        <v>0.18</v>
      </c>
      <c r="E28" s="34" t="n"/>
      <c r="F28" s="53" t="inlineStr">
        <is>
          <t>Sin ejecutar</t>
        </is>
      </c>
      <c r="G28" s="53" t="n"/>
      <c r="H28" s="53" t="n"/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15" customHeight="1" s="29">
      <c r="A29" s="34" t="n">
        <v>17</v>
      </c>
      <c r="B29" s="34" t="n"/>
      <c r="C29" s="34" t="inlineStr">
        <is>
          <t>Validar CF</t>
        </is>
      </c>
      <c r="D29" s="34" t="n">
        <v>22.79</v>
      </c>
      <c r="E29" s="34" t="n"/>
      <c r="F29" s="53" t="inlineStr">
        <is>
          <t>Sin ejecutar</t>
        </is>
      </c>
      <c r="G29" s="53" t="n"/>
      <c r="H29" s="53" t="n"/>
      <c r="I29" s="54" t="n"/>
      <c r="J29" s="54" t="n"/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  <row r="30" ht="15" customHeight="1" s="29">
      <c r="A30" s="34" t="n">
        <v>18</v>
      </c>
      <c r="B30" s="34" t="n"/>
      <c r="C30" s="34" t="inlineStr">
        <is>
          <t>Validar SA</t>
        </is>
      </c>
      <c r="D30" s="34" t="n">
        <v>0</v>
      </c>
      <c r="E30" s="34" t="n"/>
      <c r="F30" s="53" t="inlineStr">
        <is>
          <t>Sin ejecutar</t>
        </is>
      </c>
      <c r="G30" s="53" t="n"/>
      <c r="H30" s="53" t="n"/>
      <c r="I30" s="54" t="n"/>
      <c r="J30" s="54" t="n"/>
      <c r="K30" s="54" t="n"/>
      <c r="L30" s="54" t="n"/>
      <c r="M30" s="54" t="n"/>
      <c r="N30" s="54" t="n"/>
      <c r="O30" s="55">
        <f>IF(M30&lt;&gt;"",M30,IF(K30&lt;&gt;"",K30,IF(I30&lt;&gt;"",I30,"")))</f>
        <v/>
      </c>
      <c r="P30" s="55">
        <f>IF(O30="","",IF(O30="PENDIENTE","Pendiente",IF(O30="NO EJECUTABLE","No ejecutable",IF(O30="VERIFICAR","Por verificar",IF(AND(F30="No cumple",O30="CUMPLE"),"Mejora",IF(AND(F30="No cumple",O30="PARCIAL"),"Mejora parcial",IF(AND(OR(F30="Cumple",F30="Sin ejecutar"),OR(O30="NO CUMPLE",O30="PARCIAL")),IF(F30="Cumple","Regresión","Falla nueva"),IF(AND(F30="No cumple",O30="NO CUMPLE"),"Sigue fallando","Se mantiene"))))))))</f>
        <v/>
      </c>
    </row>
    <row r="31" ht="15" customHeight="1" s="29">
      <c r="A31" s="34" t="n">
        <v>19</v>
      </c>
      <c r="B31" s="34" t="n"/>
      <c r="C31" s="34" t="inlineStr">
        <is>
          <t>Validar CG</t>
        </is>
      </c>
      <c r="D31" s="34" t="n">
        <v>0</v>
      </c>
      <c r="E31" s="34" t="n"/>
      <c r="F31" s="53" t="inlineStr">
        <is>
          <t>Sin ejecutar</t>
        </is>
      </c>
      <c r="G31" s="53" t="n"/>
      <c r="H31" s="53" t="n"/>
      <c r="I31" s="54" t="n"/>
      <c r="J31" s="54" t="n"/>
      <c r="K31" s="54" t="n"/>
      <c r="L31" s="54" t="n"/>
      <c r="M31" s="54" t="n"/>
      <c r="N31" s="54" t="n"/>
      <c r="O31" s="55">
        <f>IF(M31&lt;&gt;"",M31,IF(K31&lt;&gt;"",K31,IF(I31&lt;&gt;"",I31,"")))</f>
        <v/>
      </c>
      <c r="P31" s="55">
        <f>IF(O31="","",IF(O31="PENDIENTE","Pendiente",IF(O31="NO EJECUTABLE","No ejecutable",IF(O31="VERIFICAR","Por verificar",IF(AND(F31="No cumple",O31="CUMPLE"),"Mejora",IF(AND(F31="No cumple",O31="PARCIAL"),"Mejora parcial",IF(AND(OR(F31="Cumple",F31="Sin ejecutar"),OR(O31="NO CUMPLE",O31="PARCIAL")),IF(F31="Cumple","Regresión","Falla nueva"),IF(AND(F31="No cumple",O31="NO CUMPLE"),"Sigue fallando","Se mantiene"))))))))</f>
        <v/>
      </c>
    </row>
    <row r="32" ht="15" customHeight="1" s="29">
      <c r="A32" s="34" t="n">
        <v>20</v>
      </c>
      <c r="B32" s="34" t="n"/>
      <c r="C32" s="34" t="inlineStr">
        <is>
          <t>Validar Impuesto Diario</t>
        </is>
      </c>
      <c r="D32" s="34" t="n">
        <v>22.98</v>
      </c>
      <c r="E32" s="34" t="n"/>
      <c r="F32" s="53" t="inlineStr">
        <is>
          <t>Sin ejecutar</t>
        </is>
      </c>
      <c r="G32" s="53" t="n"/>
      <c r="H32" s="53" t="n"/>
      <c r="I32" s="54" t="n"/>
      <c r="J32" s="54" t="n"/>
      <c r="K32" s="54" t="n"/>
      <c r="L32" s="54" t="n"/>
      <c r="M32" s="54" t="n"/>
      <c r="N32" s="54" t="n"/>
      <c r="O32" s="55">
        <f>IF(M32&lt;&gt;"",M32,IF(K32&lt;&gt;"",K32,IF(I32&lt;&gt;"",I32,"")))</f>
        <v/>
      </c>
      <c r="P32" s="55">
        <f>IF(O32="","",IF(O32="PENDIENTE","Pendiente",IF(O32="NO EJECUTABLE","No ejecutable",IF(O32="VERIFICAR","Por verificar",IF(AND(F32="No cumple",O32="CUMPLE"),"Mejora",IF(AND(F32="No cumple",O32="PARCIAL"),"Mejora parcial",IF(AND(OR(F32="Cumple",F32="Sin ejecutar"),OR(O32="NO CUMPLE",O32="PARCIAL")),IF(F32="Cumple","Regresión","Falla nueva"),IF(AND(F32="No cumple",O32="NO CUMPLE"),"Sigue fallando","Se mantiene"))))))))</f>
        <v/>
      </c>
    </row>
    <row r="33" ht="15" customHeight="1" s="29">
      <c r="A33" s="34" t="n">
        <v>21</v>
      </c>
      <c r="B33" s="34" t="n"/>
      <c r="C33" s="34" t="inlineStr">
        <is>
          <t>Validar IT</t>
        </is>
      </c>
      <c r="D33" s="34" t="n">
        <v>22.98</v>
      </c>
      <c r="E33" s="34" t="n"/>
      <c r="F33" s="53" t="inlineStr">
        <is>
          <t>Sin ejecutar</t>
        </is>
      </c>
      <c r="G33" s="53" t="n"/>
      <c r="H33" s="53" t="n"/>
      <c r="I33" s="54" t="n"/>
      <c r="J33" s="54" t="n"/>
      <c r="K33" s="54" t="n"/>
      <c r="L33" s="54" t="n"/>
      <c r="M33" s="54" t="n"/>
      <c r="N33" s="54" t="n"/>
      <c r="O33" s="55">
        <f>IF(M33&lt;&gt;"",M33,IF(K33&lt;&gt;"",K33,IF(I33&lt;&gt;"",I33,"")))</f>
        <v/>
      </c>
      <c r="P33" s="55">
        <f>IF(O33="","",IF(O33="PENDIENTE","Pendiente",IF(O33="NO EJECUTABLE","No ejecutable",IF(O33="VERIFICAR","Por verificar",IF(AND(F33="No cumple",O33="CUMPLE"),"Mejora",IF(AND(F33="No cumple",O33="PARCIAL"),"Mejora parcial",IF(AND(OR(F33="Cumple",F33="Sin ejecutar"),OR(O33="NO CUMPLE",O33="PARCIAL")),IF(F33="Cumple","Regresión","Falla nueva"),IF(AND(F33="No cumple",O33="NO CUMPLE"),"Sigue fallando","Se mantiene"))))))))</f>
        <v/>
      </c>
    </row>
    <row r="34" ht="15" customHeight="1" s="29">
      <c r="A34" s="34" t="n">
        <v>22</v>
      </c>
      <c r="B34" s="34" t="n"/>
      <c r="C34" s="34" t="inlineStr">
        <is>
          <t>Validar IVA</t>
        </is>
      </c>
      <c r="D34" s="34" t="n">
        <v>0</v>
      </c>
      <c r="E34" s="34" t="n"/>
      <c r="F34" s="53" t="inlineStr">
        <is>
          <t>Sin ejecutar</t>
        </is>
      </c>
      <c r="G34" s="53" t="n"/>
      <c r="H34" s="53" t="n"/>
      <c r="I34" s="54" t="n"/>
      <c r="J34" s="54" t="n"/>
      <c r="K34" s="54" t="n"/>
      <c r="L34" s="54" t="n"/>
      <c r="M34" s="54" t="n"/>
      <c r="N34" s="54" t="n"/>
      <c r="O34" s="55">
        <f>IF(M34&lt;&gt;"",M34,IF(K34&lt;&gt;"",K34,IF(I34&lt;&gt;"",I34,"")))</f>
        <v/>
      </c>
      <c r="P34" s="55">
        <f>IF(O34="","",IF(O34="PENDIENTE","Pendiente",IF(O34="NO EJECUTABLE","No ejecutable",IF(O34="VERIFICAR","Por verificar",IF(AND(F34="No cumple",O34="CUMPLE"),"Mejora",IF(AND(F34="No cumple",O34="PARCIAL"),"Mejora parcial",IF(AND(OR(F34="Cumple",F34="Sin ejecutar"),OR(O34="NO CUMPLE",O34="PARCIAL")),IF(F34="Cumple","Regresión","Falla nueva"),IF(AND(F34="No cumple",O34="NO CUMPLE"),"Sigue fallando","Se mantiene"))))))))</f>
        <v/>
      </c>
    </row>
    <row r="35" ht="15" customHeight="1" s="29">
      <c r="A35" s="34" t="n">
        <v>23</v>
      </c>
      <c r="B35" s="34" t="n"/>
      <c r="C35" s="34" t="inlineStr">
        <is>
          <t>Validar RIVA</t>
        </is>
      </c>
      <c r="D35" s="34" t="n">
        <v>0</v>
      </c>
      <c r="E35" s="34" t="n"/>
      <c r="F35" s="53" t="inlineStr">
        <is>
          <t>Sin ejecutar</t>
        </is>
      </c>
      <c r="G35" s="53" t="n"/>
      <c r="H35" s="53" t="n"/>
      <c r="I35" s="54" t="n"/>
      <c r="J35" s="54" t="n"/>
      <c r="K35" s="54" t="n"/>
      <c r="L35" s="54" t="n"/>
      <c r="M35" s="54" t="n"/>
      <c r="N35" s="54" t="n"/>
      <c r="O35" s="55">
        <f>IF(M35&lt;&gt;"",M35,IF(K35&lt;&gt;"",K35,IF(I35&lt;&gt;"",I35,"")))</f>
        <v/>
      </c>
      <c r="P35" s="55">
        <f>IF(O35="","",IF(O35="PENDIENTE","Pendiente",IF(O35="NO EJECUTABLE","No ejecutable",IF(O35="VERIFICAR","Por verificar",IF(AND(F35="No cumple",O35="CUMPLE"),"Mejora",IF(AND(F35="No cumple",O35="PARCIAL"),"Mejora parcial",IF(AND(OR(F35="Cumple",F35="Sin ejecutar"),OR(O35="NO CUMPLE",O35="PARCIAL")),IF(F35="Cumple","Regresión","Falla nueva"),IF(AND(F35="No cumple",O35="NO CUMPLE"),"Sigue fallando","Se mantiene"))))))))</f>
        <v/>
      </c>
    </row>
    <row r="36" ht="15" customHeight="1" s="29">
      <c r="A36" s="34" t="n">
        <v>24</v>
      </c>
      <c r="B36" s="34" t="n"/>
      <c r="C36" s="34" t="inlineStr">
        <is>
          <t>Validar RISR</t>
        </is>
      </c>
      <c r="D36" s="34" t="n">
        <v>0</v>
      </c>
      <c r="E36" s="34" t="n"/>
      <c r="F36" s="53" t="inlineStr">
        <is>
          <t>Sin ejecutar</t>
        </is>
      </c>
      <c r="G36" s="53" t="n"/>
      <c r="H36" s="53" t="n"/>
      <c r="I36" s="54" t="n"/>
      <c r="J36" s="54" t="n"/>
      <c r="K36" s="54" t="n"/>
      <c r="L36" s="54" t="n"/>
      <c r="M36" s="54" t="n"/>
      <c r="N36" s="54" t="n"/>
      <c r="O36" s="55">
        <f>IF(M36&lt;&gt;"",M36,IF(K36&lt;&gt;"",K36,IF(I36&lt;&gt;"",I36,"")))</f>
        <v/>
      </c>
      <c r="P36" s="55">
        <f>IF(O36="","",IF(O36="PENDIENTE","Pendiente",IF(O36="NO EJECUTABLE","No ejecutable",IF(O36="VERIFICAR","Por verificar",IF(AND(F36="No cumple",O36="CUMPLE"),"Mejora",IF(AND(F36="No cumple",O36="PARCIAL"),"Mejora parcial",IF(AND(OR(F36="Cumple",F36="Sin ejecutar"),OR(O36="NO CUMPLE",O36="PARCIAL")),IF(F36="Cumple","Regresión","Falla nueva"),IF(AND(F36="No cumple",O36="NO CUMPLE"),"Sigue fallando","Se mantiene"))))))))</f>
        <v/>
      </c>
    </row>
    <row r="37" ht="15" customHeight="1" s="29">
      <c r="A37" s="34" t="n">
        <v>25</v>
      </c>
      <c r="B37" s="34" t="n"/>
      <c r="C37" s="34" t="inlineStr">
        <is>
          <t>Validar Pago Neto</t>
        </is>
      </c>
      <c r="D37" s="34" t="n">
        <v>262.02</v>
      </c>
      <c r="E37" s="34" t="n"/>
      <c r="F37" s="53" t="inlineStr">
        <is>
          <t>Sin ejecutar</t>
        </is>
      </c>
      <c r="G37" s="53" t="n"/>
      <c r="H37" s="53" t="n"/>
      <c r="I37" s="54" t="n"/>
      <c r="J37" s="54" t="n"/>
      <c r="K37" s="54" t="n"/>
      <c r="L37" s="54" t="n"/>
      <c r="M37" s="54" t="n"/>
      <c r="N37" s="54" t="n"/>
      <c r="O37" s="55">
        <f>IF(M37&lt;&gt;"",M37,IF(K37&lt;&gt;"",K37,IF(I37&lt;&gt;"",I37,"")))</f>
        <v/>
      </c>
      <c r="P37" s="55">
        <f>IF(O37="","",IF(O37="PENDIENTE","Pendiente",IF(O37="NO EJECUTABLE","No ejecutable",IF(O37="VERIFICAR","Por verificar",IF(AND(F37="No cumple",O37="CUMPLE"),"Mejora",IF(AND(F37="No cumple",O37="PARCIAL"),"Mejora parcial",IF(AND(OR(F37="Cumple",F37="Sin ejecutar"),OR(O37="NO CUMPLE",O37="PARCIAL")),IF(F37="Cumple","Regresión","Falla nueva"),IF(AND(F37="No cumple",O37="NO CUMPLE"),"Sigue fallando","Se mantiene"))))))))</f>
        <v/>
      </c>
    </row>
    <row r="38" ht="23.85" customHeight="1" s="29">
      <c r="A38" s="34" t="n">
        <v>26</v>
      </c>
      <c r="B38" s="34" t="n"/>
      <c r="C38" s="34" t="inlineStr">
        <is>
          <t>Entrar al detalle del empleado de Seguridad con Asistencia</t>
        </is>
      </c>
      <c r="D38" s="34" t="n"/>
      <c r="E38" s="34" t="n"/>
      <c r="F38" s="53" t="inlineStr">
        <is>
          <t>Sin ejecutar</t>
        </is>
      </c>
      <c r="G38" s="53" t="n"/>
      <c r="H38" s="53" t="n"/>
      <c r="I38" s="54" t="n"/>
      <c r="J38" s="54" t="n"/>
      <c r="K38" s="54" t="n"/>
      <c r="L38" s="54" t="n"/>
      <c r="M38" s="54" t="n"/>
      <c r="N38" s="54" t="n"/>
      <c r="O38" s="55">
        <f>IF(M38&lt;&gt;"",M38,IF(K38&lt;&gt;"",K38,IF(I38&lt;&gt;"",I38,"")))</f>
        <v/>
      </c>
      <c r="P38" s="55">
        <f>IF(O38="","",IF(O38="PENDIENTE","Pendiente",IF(O38="NO EJECUTABLE","No ejecutable",IF(O38="VERIFICAR","Por verificar",IF(AND(F38="No cumple",O38="CUMPLE"),"Mejora",IF(AND(F38="No cumple",O38="PARCIAL"),"Mejora parcial",IF(AND(OR(F38="Cumple",F38="Sin ejecutar"),OR(O38="NO CUMPLE",O38="PARCIAL")),IF(F38="Cumple","Regresión","Falla nueva"),IF(AND(F38="No cumple",O38="NO CUMPLE"),"Sigue fallando","Se mantiene"))))))))</f>
        <v/>
      </c>
    </row>
    <row r="39" ht="15" customHeight="1" s="29">
      <c r="A39" s="34" t="n">
        <v>27</v>
      </c>
      <c r="B39" s="34" t="n"/>
      <c r="C39" s="34" t="inlineStr">
        <is>
          <t>Validar los siguientes valores:</t>
        </is>
      </c>
      <c r="D39" s="34" t="n"/>
      <c r="E39" s="34" t="n"/>
      <c r="F39" s="53" t="inlineStr">
        <is>
          <t>Sin ejecutar</t>
        </is>
      </c>
      <c r="G39" s="53" t="n"/>
      <c r="H39" s="53" t="n"/>
      <c r="I39" s="54" t="n"/>
      <c r="J39" s="54" t="n"/>
      <c r="K39" s="54" t="n"/>
      <c r="L39" s="54" t="n"/>
      <c r="M39" s="54" t="n"/>
      <c r="N39" s="54" t="n"/>
      <c r="O39" s="55">
        <f>IF(M39&lt;&gt;"",M39,IF(K39&lt;&gt;"",K39,IF(I39&lt;&gt;"",I39,"")))</f>
        <v/>
      </c>
      <c r="P39" s="55">
        <f>IF(O39="","",IF(O39="PENDIENTE","Pendiente",IF(O39="NO EJECUTABLE","No ejecutable",IF(O39="VERIFICAR","Por verificar",IF(AND(F39="No cumple",O39="CUMPLE"),"Mejora",IF(AND(F39="No cumple",O39="PARCIAL"),"Mejora parcial",IF(AND(OR(F39="Cumple",F39="Sin ejecutar"),OR(O39="NO CUMPLE",O39="PARCIAL")),IF(F39="Cumple","Regresión","Falla nueva"),IF(AND(F39="No cumple",O39="NO CUMPLE"),"Sigue fallando","Se mantiene"))))))))</f>
        <v/>
      </c>
    </row>
    <row r="40" ht="15" customHeight="1" s="29">
      <c r="A40" s="34" t="n">
        <v>28</v>
      </c>
      <c r="B40" s="34" t="n"/>
      <c r="C40" s="34" t="inlineStr">
        <is>
          <t>Validar Pago Bruto</t>
        </is>
      </c>
      <c r="D40" s="34" t="n">
        <v>300</v>
      </c>
      <c r="E40" s="34" t="n"/>
      <c r="F40" s="53" t="inlineStr">
        <is>
          <t>Sin ejecutar</t>
        </is>
      </c>
      <c r="G40" s="53" t="n"/>
      <c r="H40" s="53" t="n"/>
      <c r="I40" s="54" t="n"/>
      <c r="J40" s="54" t="n"/>
      <c r="K40" s="54" t="n"/>
      <c r="L40" s="54" t="n"/>
      <c r="M40" s="54" t="n"/>
      <c r="N40" s="54" t="n"/>
      <c r="O40" s="55">
        <f>IF(M40&lt;&gt;"",M40,IF(K40&lt;&gt;"",K40,IF(I40&lt;&gt;"",I40,"")))</f>
        <v/>
      </c>
      <c r="P40" s="55">
        <f>IF(O40="","",IF(O40="PENDIENTE","Pendiente",IF(O40="NO EJECUTABLE","No ejecutable",IF(O40="VERIFICAR","Por verificar",IF(AND(F40="No cumple",O40="CUMPLE"),"Mejora",IF(AND(F40="No cumple",O40="PARCIAL"),"Mejora parcial",IF(AND(OR(F40="Cumple",F40="Sin ejecutar"),OR(O40="NO CUMPLE",O40="PARCIAL")),IF(F40="Cumple","Regresión","Falla nueva"),IF(AND(F40="No cumple",O40="NO CUMPLE"),"Sigue fallando","Se mantiene"))))))))</f>
        <v/>
      </c>
    </row>
    <row r="41" ht="15" customHeight="1" s="29">
      <c r="A41" s="34" t="n">
        <v>29</v>
      </c>
      <c r="B41" s="34" t="n"/>
      <c r="C41" s="34" t="inlineStr">
        <is>
          <t>Validar SDP</t>
        </is>
      </c>
      <c r="D41" s="34" t="n">
        <v>300</v>
      </c>
      <c r="E41" s="34" t="n"/>
      <c r="F41" s="53" t="inlineStr">
        <is>
          <t>Sin ejecutar</t>
        </is>
      </c>
      <c r="G41" s="53" t="n"/>
      <c r="H41" s="53" t="n"/>
      <c r="I41" s="54" t="n"/>
      <c r="J41" s="54" t="n"/>
      <c r="K41" s="54" t="n"/>
      <c r="L41" s="54" t="n"/>
      <c r="M41" s="54" t="n"/>
      <c r="N41" s="54" t="n"/>
      <c r="O41" s="55">
        <f>IF(M41&lt;&gt;"",M41,IF(K41&lt;&gt;"",K41,IF(I41&lt;&gt;"",I41,"")))</f>
        <v/>
      </c>
      <c r="P41" s="55">
        <f>IF(O41="","",IF(O41="PENDIENTE","Pendiente",IF(O41="NO EJECUTABLE","No ejecutable",IF(O41="VERIFICAR","Por verificar",IF(AND(F41="No cumple",O41="CUMPLE"),"Mejora",IF(AND(F41="No cumple",O41="PARCIAL"),"Mejora parcial",IF(AND(OR(F41="Cumple",F41="Sin ejecutar"),OR(O41="NO CUMPLE",O41="PARCIAL")),IF(F41="Cumple","Regresión","Falla nueva"),IF(AND(F41="No cumple",O41="NO CUMPLE"),"Sigue fallando","Se mantiene"))))))))</f>
        <v/>
      </c>
    </row>
    <row r="42" ht="15" customHeight="1" s="29">
      <c r="A42" s="34" t="n">
        <v>30</v>
      </c>
      <c r="B42" s="34" t="n"/>
      <c r="C42" s="34" t="inlineStr">
        <is>
          <t>Validar IM</t>
        </is>
      </c>
      <c r="D42" s="34" t="n">
        <v>2.58</v>
      </c>
      <c r="E42" s="34" t="n"/>
      <c r="F42" s="53" t="inlineStr">
        <is>
          <t>Sin ejecutar</t>
        </is>
      </c>
      <c r="G42" s="53" t="n"/>
      <c r="H42" s="53" t="n"/>
      <c r="I42" s="54" t="n"/>
      <c r="J42" s="54" t="n"/>
      <c r="K42" s="54" t="n"/>
      <c r="L42" s="54" t="n"/>
      <c r="M42" s="54" t="n"/>
      <c r="N42" s="54" t="n"/>
      <c r="O42" s="55">
        <f>IF(M42&lt;&gt;"",M42,IF(K42&lt;&gt;"",K42,IF(I42&lt;&gt;"",I42,"")))</f>
        <v/>
      </c>
      <c r="P42" s="55">
        <f>IF(O42="","",IF(O42="PENDIENTE","Pendiente",IF(O42="NO EJECUTABLE","No ejecutable",IF(O42="VERIFICAR","Por verificar",IF(AND(F42="No cumple",O42="CUMPLE"),"Mejora",IF(AND(F42="No cumple",O42="PARCIAL"),"Mejora parcial",IF(AND(OR(F42="Cumple",F42="Sin ejecutar"),OR(O42="NO CUMPLE",O42="PARCIAL")),IF(F42="Cumple","Regresión","Falla nueva"),IF(AND(F42="No cumple",O42="NO CUMPLE"),"Sigue fallando","Se mantiene"))))))))</f>
        <v/>
      </c>
    </row>
    <row r="43" ht="15" customHeight="1" s="29">
      <c r="A43" s="34" t="n">
        <v>31</v>
      </c>
      <c r="B43" s="34" t="n"/>
      <c r="C43" s="34" t="inlineStr">
        <is>
          <t>Validar CF</t>
        </is>
      </c>
      <c r="D43" s="34" t="n">
        <v>22.79</v>
      </c>
      <c r="E43" s="34" t="n"/>
      <c r="F43" s="53" t="inlineStr">
        <is>
          <t>Sin ejecutar</t>
        </is>
      </c>
      <c r="G43" s="53" t="n"/>
      <c r="H43" s="53" t="n"/>
      <c r="I43" s="54" t="n"/>
      <c r="J43" s="54" t="n"/>
      <c r="K43" s="54" t="n"/>
      <c r="L43" s="54" t="n"/>
      <c r="M43" s="54" t="n"/>
      <c r="N43" s="54" t="n"/>
      <c r="O43" s="55">
        <f>IF(M43&lt;&gt;"",M43,IF(K43&lt;&gt;"",K43,IF(I43&lt;&gt;"",I43,"")))</f>
        <v/>
      </c>
      <c r="P43" s="55">
        <f>IF(O43="","",IF(O43="PENDIENTE","Pendiente",IF(O43="NO EJECUTABLE","No ejecutable",IF(O43="VERIFICAR","Por verificar",IF(AND(F43="No cumple",O43="CUMPLE"),"Mejora",IF(AND(F43="No cumple",O43="PARCIAL"),"Mejora parcial",IF(AND(OR(F43="Cumple",F43="Sin ejecutar"),OR(O43="NO CUMPLE",O43="PARCIAL")),IF(F43="Cumple","Regresión","Falla nueva"),IF(AND(F43="No cumple",O43="NO CUMPLE"),"Sigue fallando","Se mantiene"))))))))</f>
        <v/>
      </c>
    </row>
    <row r="44" ht="15" customHeight="1" s="29">
      <c r="A44" s="34" t="n">
        <v>32</v>
      </c>
      <c r="B44" s="34" t="n"/>
      <c r="C44" s="34" t="inlineStr">
        <is>
          <t>Validar SA</t>
        </is>
      </c>
      <c r="D44" s="34" t="n">
        <v>0</v>
      </c>
      <c r="E44" s="34" t="n"/>
      <c r="F44" s="53" t="inlineStr">
        <is>
          <t>Sin ejecutar</t>
        </is>
      </c>
      <c r="G44" s="53" t="n"/>
      <c r="H44" s="53" t="n"/>
      <c r="I44" s="54" t="n"/>
      <c r="J44" s="54" t="n"/>
      <c r="K44" s="54" t="n"/>
      <c r="L44" s="54" t="n"/>
      <c r="M44" s="54" t="n"/>
      <c r="N44" s="54" t="n"/>
      <c r="O44" s="55">
        <f>IF(M44&lt;&gt;"",M44,IF(K44&lt;&gt;"",K44,IF(I44&lt;&gt;"",I44,"")))</f>
        <v/>
      </c>
      <c r="P44" s="55">
        <f>IF(O44="","",IF(O44="PENDIENTE","Pendiente",IF(O44="NO EJECUTABLE","No ejecutable",IF(O44="VERIFICAR","Por verificar",IF(AND(F44="No cumple",O44="CUMPLE"),"Mejora",IF(AND(F44="No cumple",O44="PARCIAL"),"Mejora parcial",IF(AND(OR(F44="Cumple",F44="Sin ejecutar"),OR(O44="NO CUMPLE",O44="PARCIAL")),IF(F44="Cumple","Regresión","Falla nueva"),IF(AND(F44="No cumple",O44="NO CUMPLE"),"Sigue fallando","Se mantiene"))))))))</f>
        <v/>
      </c>
    </row>
    <row r="45" ht="15" customHeight="1" s="29">
      <c r="A45" s="34" t="n">
        <v>33</v>
      </c>
      <c r="B45" s="34" t="n"/>
      <c r="C45" s="34" t="inlineStr">
        <is>
          <t>Validar CG</t>
        </is>
      </c>
      <c r="D45" s="34" t="n">
        <v>0</v>
      </c>
      <c r="E45" s="34" t="n"/>
      <c r="F45" s="53" t="inlineStr">
        <is>
          <t>Sin ejecutar</t>
        </is>
      </c>
      <c r="G45" s="53" t="n"/>
      <c r="H45" s="53" t="n"/>
      <c r="I45" s="54" t="n"/>
      <c r="J45" s="54" t="n"/>
      <c r="K45" s="54" t="n"/>
      <c r="L45" s="54" t="n"/>
      <c r="M45" s="54" t="n"/>
      <c r="N45" s="54" t="n"/>
      <c r="O45" s="55">
        <f>IF(M45&lt;&gt;"",M45,IF(K45&lt;&gt;"",K45,IF(I45&lt;&gt;"",I45,"")))</f>
        <v/>
      </c>
      <c r="P45" s="55">
        <f>IF(O45="","",IF(O45="PENDIENTE","Pendiente",IF(O45="NO EJECUTABLE","No ejecutable",IF(O45="VERIFICAR","Por verificar",IF(AND(F45="No cumple",O45="CUMPLE"),"Mejora",IF(AND(F45="No cumple",O45="PARCIAL"),"Mejora parcial",IF(AND(OR(F45="Cumple",F45="Sin ejecutar"),OR(O45="NO CUMPLE",O45="PARCIAL")),IF(F45="Cumple","Regresión","Falla nueva"),IF(AND(F45="No cumple",O45="NO CUMPLE"),"Sigue fallando","Se mantiene"))))))))</f>
        <v/>
      </c>
    </row>
    <row r="46" ht="15" customHeight="1" s="29">
      <c r="A46" s="34" t="n">
        <v>34</v>
      </c>
      <c r="B46" s="34" t="n"/>
      <c r="C46" s="34" t="inlineStr">
        <is>
          <t>Validar Impuesto Diario</t>
        </is>
      </c>
      <c r="D46" s="34" t="n">
        <v>25.38</v>
      </c>
      <c r="E46" s="34" t="n"/>
      <c r="F46" s="53" t="inlineStr">
        <is>
          <t>Sin ejecutar</t>
        </is>
      </c>
      <c r="G46" s="53" t="n"/>
      <c r="H46" s="53" t="n"/>
      <c r="I46" s="54" t="n"/>
      <c r="J46" s="54" t="n"/>
      <c r="K46" s="54" t="n"/>
      <c r="L46" s="54" t="n"/>
      <c r="M46" s="54" t="n"/>
      <c r="N46" s="54" t="n"/>
      <c r="O46" s="55">
        <f>IF(M46&lt;&gt;"",M46,IF(K46&lt;&gt;"",K46,IF(I46&lt;&gt;"",I46,"")))</f>
        <v/>
      </c>
      <c r="P46" s="55">
        <f>IF(O46="","",IF(O46="PENDIENTE","Pendiente",IF(O46="NO EJECUTABLE","No ejecutable",IF(O46="VERIFICAR","Por verificar",IF(AND(F46="No cumple",O46="CUMPLE"),"Mejora",IF(AND(F46="No cumple",O46="PARCIAL"),"Mejora parcial",IF(AND(OR(F46="Cumple",F46="Sin ejecutar"),OR(O46="NO CUMPLE",O46="PARCIAL")),IF(F46="Cumple","Regresión","Falla nueva"),IF(AND(F46="No cumple",O46="NO CUMPLE"),"Sigue fallando","Se mantiene"))))))))</f>
        <v/>
      </c>
    </row>
    <row r="47" ht="15" customHeight="1" s="29">
      <c r="A47" s="34" t="n">
        <v>35</v>
      </c>
      <c r="B47" s="34" t="n"/>
      <c r="C47" s="34" t="inlineStr">
        <is>
          <t>Validar IT</t>
        </is>
      </c>
      <c r="D47" s="34" t="n">
        <v>25.38</v>
      </c>
      <c r="E47" s="34" t="n"/>
      <c r="F47" s="53" t="inlineStr">
        <is>
          <t>Sin ejecutar</t>
        </is>
      </c>
      <c r="G47" s="53" t="n"/>
      <c r="H47" s="53" t="n"/>
      <c r="I47" s="54" t="n"/>
      <c r="J47" s="54" t="n"/>
      <c r="K47" s="54" t="n"/>
      <c r="L47" s="54" t="n"/>
      <c r="M47" s="54" t="n"/>
      <c r="N47" s="54" t="n"/>
      <c r="O47" s="55">
        <f>IF(M47&lt;&gt;"",M47,IF(K47&lt;&gt;"",K47,IF(I47&lt;&gt;"",I47,"")))</f>
        <v/>
      </c>
      <c r="P47" s="55">
        <f>IF(O47="","",IF(O47="PENDIENTE","Pendiente",IF(O47="NO EJECUTABLE","No ejecutable",IF(O47="VERIFICAR","Por verificar",IF(AND(F47="No cumple",O47="CUMPLE"),"Mejora",IF(AND(F47="No cumple",O47="PARCIAL"),"Mejora parcial",IF(AND(OR(F47="Cumple",F47="Sin ejecutar"),OR(O47="NO CUMPLE",O47="PARCIAL")),IF(F47="Cumple","Regresión","Falla nueva"),IF(AND(F47="No cumple",O47="NO CUMPLE"),"Sigue fallando","Se mantiene"))))))))</f>
        <v/>
      </c>
    </row>
    <row r="48" ht="15" customHeight="1" s="29">
      <c r="A48" s="34" t="n">
        <v>36</v>
      </c>
      <c r="B48" s="34" t="n"/>
      <c r="C48" s="34" t="inlineStr">
        <is>
          <t>Validar IVA</t>
        </is>
      </c>
      <c r="D48" s="34" t="n">
        <v>0</v>
      </c>
      <c r="E48" s="34" t="n"/>
      <c r="F48" s="53" t="inlineStr">
        <is>
          <t>Sin ejecutar</t>
        </is>
      </c>
      <c r="G48" s="53" t="n"/>
      <c r="H48" s="53" t="n"/>
      <c r="I48" s="54" t="n"/>
      <c r="J48" s="54" t="n"/>
      <c r="K48" s="54" t="n"/>
      <c r="L48" s="54" t="n"/>
      <c r="M48" s="54" t="n"/>
      <c r="N48" s="54" t="n"/>
      <c r="O48" s="55">
        <f>IF(M48&lt;&gt;"",M48,IF(K48&lt;&gt;"",K48,IF(I48&lt;&gt;"",I48,"")))</f>
        <v/>
      </c>
      <c r="P48" s="55">
        <f>IF(O48="","",IF(O48="PENDIENTE","Pendiente",IF(O48="NO EJECUTABLE","No ejecutable",IF(O48="VERIFICAR","Por verificar",IF(AND(F48="No cumple",O48="CUMPLE"),"Mejora",IF(AND(F48="No cumple",O48="PARCIAL"),"Mejora parcial",IF(AND(OR(F48="Cumple",F48="Sin ejecutar"),OR(O48="NO CUMPLE",O48="PARCIAL")),IF(F48="Cumple","Regresión","Falla nueva"),IF(AND(F48="No cumple",O48="NO CUMPLE"),"Sigue fallando","Se mantiene"))))))))</f>
        <v/>
      </c>
    </row>
    <row r="49" ht="15" customHeight="1" s="29">
      <c r="A49" s="34" t="n">
        <v>37</v>
      </c>
      <c r="B49" s="34" t="n"/>
      <c r="C49" s="34" t="inlineStr">
        <is>
          <t>Validar RIVA</t>
        </is>
      </c>
      <c r="D49" s="34" t="n">
        <v>0</v>
      </c>
      <c r="E49" s="34" t="n"/>
      <c r="F49" s="53" t="inlineStr">
        <is>
          <t>Sin ejecutar</t>
        </is>
      </c>
      <c r="G49" s="53" t="n"/>
      <c r="H49" s="53" t="n"/>
      <c r="I49" s="54" t="n"/>
      <c r="J49" s="54" t="n"/>
      <c r="K49" s="54" t="n"/>
      <c r="L49" s="54" t="n"/>
      <c r="M49" s="54" t="n"/>
      <c r="N49" s="54" t="n"/>
      <c r="O49" s="55">
        <f>IF(M49&lt;&gt;"",M49,IF(K49&lt;&gt;"",K49,IF(I49&lt;&gt;"",I49,"")))</f>
        <v/>
      </c>
      <c r="P49" s="55">
        <f>IF(O49="","",IF(O49="PENDIENTE","Pendiente",IF(O49="NO EJECUTABLE","No ejecutable",IF(O49="VERIFICAR","Por verificar",IF(AND(F49="No cumple",O49="CUMPLE"),"Mejora",IF(AND(F49="No cumple",O49="PARCIAL"),"Mejora parcial",IF(AND(OR(F49="Cumple",F49="Sin ejecutar"),OR(O49="NO CUMPLE",O49="PARCIAL")),IF(F49="Cumple","Regresión","Falla nueva"),IF(AND(F49="No cumple",O49="NO CUMPLE"),"Sigue fallando","Se mantiene"))))))))</f>
        <v/>
      </c>
    </row>
    <row r="50" ht="15" customHeight="1" s="29">
      <c r="A50" s="34" t="n">
        <v>38</v>
      </c>
      <c r="B50" s="34" t="n"/>
      <c r="C50" s="34" t="inlineStr">
        <is>
          <t>Validar RISR</t>
        </is>
      </c>
      <c r="D50" s="34" t="n">
        <v>0</v>
      </c>
      <c r="E50" s="34" t="n"/>
      <c r="F50" s="53" t="inlineStr">
        <is>
          <t>Sin ejecutar</t>
        </is>
      </c>
      <c r="G50" s="53" t="n"/>
      <c r="H50" s="53" t="n"/>
      <c r="I50" s="54" t="n"/>
      <c r="J50" s="54" t="n"/>
      <c r="K50" s="54" t="n"/>
      <c r="L50" s="54" t="n"/>
      <c r="M50" s="54" t="n"/>
      <c r="N50" s="54" t="n"/>
      <c r="O50" s="55">
        <f>IF(M50&lt;&gt;"",M50,IF(K50&lt;&gt;"",K50,IF(I50&lt;&gt;"",I50,"")))</f>
        <v/>
      </c>
      <c r="P50" s="55">
        <f>IF(O50="","",IF(O50="PENDIENTE","Pendiente",IF(O50="NO EJECUTABLE","No ejecutable",IF(O50="VERIFICAR","Por verificar",IF(AND(F50="No cumple",O50="CUMPLE"),"Mejora",IF(AND(F50="No cumple",O50="PARCIAL"),"Mejora parcial",IF(AND(OR(F50="Cumple",F50="Sin ejecutar"),OR(O50="NO CUMPLE",O50="PARCIAL")),IF(F50="Cumple","Regresión","Falla nueva"),IF(AND(F50="No cumple",O50="NO CUMPLE"),"Sigue fallando","Se mantiene"))))))))</f>
        <v/>
      </c>
    </row>
    <row r="51" ht="15" customHeight="1" s="29">
      <c r="A51" s="34" t="n">
        <v>39</v>
      </c>
      <c r="B51" s="34" t="n"/>
      <c r="C51" s="34" t="inlineStr">
        <is>
          <t>Validar Pago Neto</t>
        </is>
      </c>
      <c r="D51" s="34" t="n">
        <v>274.62</v>
      </c>
      <c r="E51" s="34" t="n"/>
      <c r="F51" s="53" t="inlineStr">
        <is>
          <t>Sin ejecutar</t>
        </is>
      </c>
      <c r="G51" s="53" t="n"/>
      <c r="H51" s="53" t="n"/>
      <c r="I51" s="54" t="n"/>
      <c r="J51" s="54" t="n"/>
      <c r="K51" s="54" t="n"/>
      <c r="L51" s="54" t="n"/>
      <c r="M51" s="54" t="n"/>
      <c r="N51" s="54" t="n"/>
      <c r="O51" s="55">
        <f>IF(M51&lt;&gt;"",M51,IF(K51&lt;&gt;"",K51,IF(I51&lt;&gt;"",I51,"")))</f>
        <v/>
      </c>
      <c r="P51" s="55">
        <f>IF(O51="","",IF(O51="PENDIENTE","Pendiente",IF(O51="NO EJECUTABLE","No ejecutable",IF(O51="VERIFICAR","Por verificar",IF(AND(F51="No cumple",O51="CUMPLE"),"Mejora",IF(AND(F51="No cumple",O51="PARCIAL"),"Mejora parcial",IF(AND(OR(F51="Cumple",F51="Sin ejecutar"),OR(O51="NO CUMPLE",O51="PARCIAL")),IF(F51="Cumple","Regresión","Falla nueva"),IF(AND(F51="No cumple",O51="NO CUMPLE"),"Sigue fallando","Se mantiene"))))))))</f>
        <v/>
      </c>
    </row>
    <row r="52" ht="23.85" customHeight="1" s="29">
      <c r="A52" s="34" t="n">
        <v>40</v>
      </c>
      <c r="B52" s="34" t="n"/>
      <c r="C52" s="34" t="inlineStr">
        <is>
          <t>Entrar al detalle del empleado de Seguridad con "Falta"</t>
        </is>
      </c>
      <c r="D52" s="34" t="n"/>
      <c r="E52" s="34" t="n"/>
      <c r="F52" s="53" t="inlineStr">
        <is>
          <t>Sin ejecutar</t>
        </is>
      </c>
      <c r="G52" s="53" t="n"/>
      <c r="H52" s="53" t="n"/>
      <c r="I52" s="54" t="n"/>
      <c r="J52" s="54" t="n"/>
      <c r="K52" s="54" t="n"/>
      <c r="L52" s="54" t="n"/>
      <c r="M52" s="54" t="n"/>
      <c r="N52" s="54" t="n"/>
      <c r="O52" s="55">
        <f>IF(M52&lt;&gt;"",M52,IF(K52&lt;&gt;"",K52,IF(I52&lt;&gt;"",I52,"")))</f>
        <v/>
      </c>
      <c r="P52" s="55">
        <f>IF(O52="","",IF(O52="PENDIENTE","Pendiente",IF(O52="NO EJECUTABLE","No ejecutable",IF(O52="VERIFICAR","Por verificar",IF(AND(F52="No cumple",O52="CUMPLE"),"Mejora",IF(AND(F52="No cumple",O52="PARCIAL"),"Mejora parcial",IF(AND(OR(F52="Cumple",F52="Sin ejecutar"),OR(O52="NO CUMPLE",O52="PARCIAL")),IF(F52="Cumple","Regresión","Falla nueva"),IF(AND(F52="No cumple",O52="NO CUMPLE"),"Sigue fallando","Se mantiene"))))))))</f>
        <v/>
      </c>
    </row>
    <row r="53" ht="15" customHeight="1" s="29">
      <c r="A53" s="34" t="n">
        <v>41</v>
      </c>
      <c r="B53" s="34" t="n"/>
      <c r="C53" s="34" t="inlineStr">
        <is>
          <t>Validar los siguientes valores:</t>
        </is>
      </c>
      <c r="D53" s="34" t="n"/>
      <c r="E53" s="34" t="n"/>
      <c r="F53" s="53" t="inlineStr">
        <is>
          <t>Sin ejecutar</t>
        </is>
      </c>
      <c r="G53" s="53" t="n"/>
      <c r="H53" s="53" t="n"/>
      <c r="I53" s="54" t="n"/>
      <c r="J53" s="54" t="n"/>
      <c r="K53" s="54" t="n"/>
      <c r="L53" s="54" t="n"/>
      <c r="M53" s="54" t="n"/>
      <c r="N53" s="54" t="n"/>
      <c r="O53" s="55">
        <f>IF(M53&lt;&gt;"",M53,IF(K53&lt;&gt;"",K53,IF(I53&lt;&gt;"",I53,"")))</f>
        <v/>
      </c>
      <c r="P53" s="55">
        <f>IF(O53="","",IF(O53="PENDIENTE","Pendiente",IF(O53="NO EJECUTABLE","No ejecutable",IF(O53="VERIFICAR","Por verificar",IF(AND(F53="No cumple",O53="CUMPLE"),"Mejora",IF(AND(F53="No cumple",O53="PARCIAL"),"Mejora parcial",IF(AND(OR(F53="Cumple",F53="Sin ejecutar"),OR(O53="NO CUMPLE",O53="PARCIAL")),IF(F53="Cumple","Regresión","Falla nueva"),IF(AND(F53="No cumple",O53="NO CUMPLE"),"Sigue fallando","Se mantiene"))))))))</f>
        <v/>
      </c>
    </row>
    <row r="54" ht="15" customHeight="1" s="29">
      <c r="A54" s="34" t="n">
        <v>42</v>
      </c>
      <c r="B54" s="34" t="n"/>
      <c r="C54" s="34" t="inlineStr">
        <is>
          <t>Validar Pago Bruto</t>
        </is>
      </c>
      <c r="D54" s="34" t="n">
        <v>-300</v>
      </c>
      <c r="E54" s="34" t="n"/>
      <c r="F54" s="53" t="inlineStr">
        <is>
          <t>Sin ejecutar</t>
        </is>
      </c>
      <c r="G54" s="53" t="n"/>
      <c r="H54" s="53" t="n"/>
      <c r="I54" s="54" t="n"/>
      <c r="J54" s="54" t="n"/>
      <c r="K54" s="54" t="n"/>
      <c r="L54" s="54" t="n"/>
      <c r="M54" s="54" t="n"/>
      <c r="N54" s="54" t="n"/>
      <c r="O54" s="55">
        <f>IF(M54&lt;&gt;"",M54,IF(K54&lt;&gt;"",K54,IF(I54&lt;&gt;"",I54,"")))</f>
        <v/>
      </c>
      <c r="P54" s="55">
        <f>IF(O54="","",IF(O54="PENDIENTE","Pendiente",IF(O54="NO EJECUTABLE","No ejecutable",IF(O54="VERIFICAR","Por verificar",IF(AND(F54="No cumple",O54="CUMPLE"),"Mejora",IF(AND(F54="No cumple",O54="PARCIAL"),"Mejora parcial",IF(AND(OR(F54="Cumple",F54="Sin ejecutar"),OR(O54="NO CUMPLE",O54="PARCIAL")),IF(F54="Cumple","Regresión","Falla nueva"),IF(AND(F54="No cumple",O54="NO CUMPLE"),"Sigue fallando","Se mantiene"))))))))</f>
        <v/>
      </c>
    </row>
    <row r="55" ht="15" customHeight="1" s="29">
      <c r="A55" s="34" t="n">
        <v>43</v>
      </c>
      <c r="B55" s="34" t="n"/>
      <c r="C55" s="34" t="inlineStr">
        <is>
          <t>Validar SDP</t>
        </is>
      </c>
      <c r="D55" s="34" t="n">
        <v>0</v>
      </c>
      <c r="E55" s="34" t="n"/>
      <c r="F55" s="53" t="inlineStr">
        <is>
          <t>Sin ejecutar</t>
        </is>
      </c>
      <c r="G55" s="53" t="n"/>
      <c r="H55" s="53" t="n"/>
      <c r="I55" s="54" t="n"/>
      <c r="J55" s="54" t="n"/>
      <c r="K55" s="54" t="n"/>
      <c r="L55" s="54" t="n"/>
      <c r="M55" s="54" t="n"/>
      <c r="N55" s="54" t="n"/>
      <c r="O55" s="55">
        <f>IF(M55&lt;&gt;"",M55,IF(K55&lt;&gt;"",K55,IF(I55&lt;&gt;"",I55,"")))</f>
        <v/>
      </c>
      <c r="P55" s="55">
        <f>IF(O55="","",IF(O55="PENDIENTE","Pendiente",IF(O55="NO EJECUTABLE","No ejecutable",IF(O55="VERIFICAR","Por verificar",IF(AND(F55="No cumple",O55="CUMPLE"),"Mejora",IF(AND(F55="No cumple",O55="PARCIAL"),"Mejora parcial",IF(AND(OR(F55="Cumple",F55="Sin ejecutar"),OR(O55="NO CUMPLE",O55="PARCIAL")),IF(F55="Cumple","Regresión","Falla nueva"),IF(AND(F55="No cumple",O55="NO CUMPLE"),"Sigue fallando","Se mantiene"))))))))</f>
        <v/>
      </c>
    </row>
    <row r="56" ht="15" customHeight="1" s="29">
      <c r="A56" s="34" t="n">
        <v>44</v>
      </c>
      <c r="B56" s="34" t="n"/>
      <c r="C56" s="34" t="inlineStr">
        <is>
          <t>Validar IM</t>
        </is>
      </c>
      <c r="D56" s="34" t="n">
        <v>0</v>
      </c>
      <c r="E56" s="34" t="n"/>
      <c r="F56" s="53" t="inlineStr">
        <is>
          <t>Sin ejecutar</t>
        </is>
      </c>
      <c r="G56" s="53" t="n"/>
      <c r="H56" s="53" t="n"/>
      <c r="I56" s="54" t="n"/>
      <c r="J56" s="54" t="n"/>
      <c r="K56" s="54" t="n"/>
      <c r="L56" s="54" t="n"/>
      <c r="M56" s="54" t="n"/>
      <c r="N56" s="54" t="n"/>
      <c r="O56" s="55">
        <f>IF(M56&lt;&gt;"",M56,IF(K56&lt;&gt;"",K56,IF(I56&lt;&gt;"",I56,"")))</f>
        <v/>
      </c>
      <c r="P56" s="55">
        <f>IF(O56="","",IF(O56="PENDIENTE","Pendiente",IF(O56="NO EJECUTABLE","No ejecutable",IF(O56="VERIFICAR","Por verificar",IF(AND(F56="No cumple",O56="CUMPLE"),"Mejora",IF(AND(F56="No cumple",O56="PARCIAL"),"Mejora parcial",IF(AND(OR(F56="Cumple",F56="Sin ejecutar"),OR(O56="NO CUMPLE",O56="PARCIAL")),IF(F56="Cumple","Regresión","Falla nueva"),IF(AND(F56="No cumple",O56="NO CUMPLE"),"Sigue fallando","Se mantiene"))))))))</f>
        <v/>
      </c>
    </row>
    <row r="57" ht="15" customHeight="1" s="29">
      <c r="A57" s="34" t="n">
        <v>45</v>
      </c>
      <c r="B57" s="34" t="n"/>
      <c r="C57" s="34" t="inlineStr">
        <is>
          <t>Validar CF</t>
        </is>
      </c>
      <c r="D57" s="34" t="n">
        <v>0</v>
      </c>
      <c r="E57" s="34" t="n"/>
      <c r="F57" s="53" t="inlineStr">
        <is>
          <t>Sin ejecutar</t>
        </is>
      </c>
      <c r="G57" s="53" t="n"/>
      <c r="H57" s="53" t="n"/>
      <c r="I57" s="54" t="n"/>
      <c r="J57" s="54" t="n"/>
      <c r="K57" s="54" t="n"/>
      <c r="L57" s="54" t="n"/>
      <c r="M57" s="54" t="n"/>
      <c r="N57" s="54" t="n"/>
      <c r="O57" s="55">
        <f>IF(M57&lt;&gt;"",M57,IF(K57&lt;&gt;"",K57,IF(I57&lt;&gt;"",I57,"")))</f>
        <v/>
      </c>
      <c r="P57" s="55">
        <f>IF(O57="","",IF(O57="PENDIENTE","Pendiente",IF(O57="NO EJECUTABLE","No ejecutable",IF(O57="VERIFICAR","Por verificar",IF(AND(F57="No cumple",O57="CUMPLE"),"Mejora",IF(AND(F57="No cumple",O57="PARCIAL"),"Mejora parcial",IF(AND(OR(F57="Cumple",F57="Sin ejecutar"),OR(O57="NO CUMPLE",O57="PARCIAL")),IF(F57="Cumple","Regresión","Falla nueva"),IF(AND(F57="No cumple",O57="NO CUMPLE"),"Sigue fallando","Se mantiene"))))))))</f>
        <v/>
      </c>
    </row>
    <row r="58" ht="15" customHeight="1" s="29">
      <c r="A58" s="34" t="n">
        <v>46</v>
      </c>
      <c r="B58" s="34" t="n"/>
      <c r="C58" s="34" t="inlineStr">
        <is>
          <t>Validar SA</t>
        </is>
      </c>
      <c r="D58" s="34" t="n">
        <v>0</v>
      </c>
      <c r="E58" s="34" t="n"/>
      <c r="F58" s="53" t="inlineStr">
        <is>
          <t>Sin ejecutar</t>
        </is>
      </c>
      <c r="G58" s="53" t="n"/>
      <c r="H58" s="53" t="n"/>
      <c r="I58" s="54" t="n"/>
      <c r="J58" s="54" t="n"/>
      <c r="K58" s="54" t="n"/>
      <c r="L58" s="54" t="n"/>
      <c r="M58" s="54" t="n"/>
      <c r="N58" s="54" t="n"/>
      <c r="O58" s="55">
        <f>IF(M58&lt;&gt;"",M58,IF(K58&lt;&gt;"",K58,IF(I58&lt;&gt;"",I58,"")))</f>
        <v/>
      </c>
      <c r="P58" s="55">
        <f>IF(O58="","",IF(O58="PENDIENTE","Pendiente",IF(O58="NO EJECUTABLE","No ejecutable",IF(O58="VERIFICAR","Por verificar",IF(AND(F58="No cumple",O58="CUMPLE"),"Mejora",IF(AND(F58="No cumple",O58="PARCIAL"),"Mejora parcial",IF(AND(OR(F58="Cumple",F58="Sin ejecutar"),OR(O58="NO CUMPLE",O58="PARCIAL")),IF(F58="Cumple","Regresión","Falla nueva"),IF(AND(F58="No cumple",O58="NO CUMPLE"),"Sigue fallando","Se mantiene"))))))))</f>
        <v/>
      </c>
    </row>
    <row r="59" ht="15" customHeight="1" s="29">
      <c r="A59" s="34" t="n">
        <v>47</v>
      </c>
      <c r="B59" s="34" t="n"/>
      <c r="C59" s="34" t="inlineStr">
        <is>
          <t>Validar CG</t>
        </is>
      </c>
      <c r="D59" s="34" t="n">
        <v>0</v>
      </c>
      <c r="E59" s="34" t="n"/>
      <c r="F59" s="53" t="inlineStr">
        <is>
          <t>Sin ejecutar</t>
        </is>
      </c>
      <c r="G59" s="53" t="n"/>
      <c r="H59" s="53" t="n"/>
      <c r="I59" s="54" t="n"/>
      <c r="J59" s="54" t="n"/>
      <c r="K59" s="54" t="n"/>
      <c r="L59" s="54" t="n"/>
      <c r="M59" s="54" t="n"/>
      <c r="N59" s="54" t="n"/>
      <c r="O59" s="55">
        <f>IF(M59&lt;&gt;"",M59,IF(K59&lt;&gt;"",K59,IF(I59&lt;&gt;"",I59,"")))</f>
        <v/>
      </c>
      <c r="P59" s="55">
        <f>IF(O59="","",IF(O59="PENDIENTE","Pendiente",IF(O59="NO EJECUTABLE","No ejecutable",IF(O59="VERIFICAR","Por verificar",IF(AND(F59="No cumple",O59="CUMPLE"),"Mejora",IF(AND(F59="No cumple",O59="PARCIAL"),"Mejora parcial",IF(AND(OR(F59="Cumple",F59="Sin ejecutar"),OR(O59="NO CUMPLE",O59="PARCIAL")),IF(F59="Cumple","Regresión","Falla nueva"),IF(AND(F59="No cumple",O59="NO CUMPLE"),"Sigue fallando","Se mantiene"))))))))</f>
        <v/>
      </c>
    </row>
    <row r="60" ht="15" customHeight="1" s="29">
      <c r="A60" s="34" t="n">
        <v>48</v>
      </c>
      <c r="B60" s="34" t="n"/>
      <c r="C60" s="34" t="inlineStr">
        <is>
          <t>Validar Impuesto Diario</t>
        </is>
      </c>
      <c r="D60" s="34" t="n">
        <v>0</v>
      </c>
      <c r="E60" s="34" t="n"/>
      <c r="F60" s="53" t="inlineStr">
        <is>
          <t>Sin ejecutar</t>
        </is>
      </c>
      <c r="G60" s="53" t="n"/>
      <c r="H60" s="53" t="n"/>
      <c r="I60" s="54" t="n"/>
      <c r="J60" s="54" t="n"/>
      <c r="K60" s="54" t="n"/>
      <c r="L60" s="54" t="n"/>
      <c r="M60" s="54" t="n"/>
      <c r="N60" s="54" t="n"/>
      <c r="O60" s="55">
        <f>IF(M60&lt;&gt;"",M60,IF(K60&lt;&gt;"",K60,IF(I60&lt;&gt;"",I60,"")))</f>
        <v/>
      </c>
      <c r="P60" s="55">
        <f>IF(O60="","",IF(O60="PENDIENTE","Pendiente",IF(O60="NO EJECUTABLE","No ejecutable",IF(O60="VERIFICAR","Por verificar",IF(AND(F60="No cumple",O60="CUMPLE"),"Mejora",IF(AND(F60="No cumple",O60="PARCIAL"),"Mejora parcial",IF(AND(OR(F60="Cumple",F60="Sin ejecutar"),OR(O60="NO CUMPLE",O60="PARCIAL")),IF(F60="Cumple","Regresión","Falla nueva"),IF(AND(F60="No cumple",O60="NO CUMPLE"),"Sigue fallando","Se mantiene"))))))))</f>
        <v/>
      </c>
    </row>
    <row r="61" ht="15" customHeight="1" s="29">
      <c r="A61" s="34" t="n">
        <v>49</v>
      </c>
      <c r="B61" s="34" t="n"/>
      <c r="C61" s="34" t="inlineStr">
        <is>
          <t>Validar IT</t>
        </is>
      </c>
      <c r="D61" s="34" t="n">
        <v>0</v>
      </c>
      <c r="E61" s="34" t="n"/>
      <c r="F61" s="53" t="inlineStr">
        <is>
          <t>Sin ejecutar</t>
        </is>
      </c>
      <c r="G61" s="53" t="n"/>
      <c r="H61" s="53" t="n"/>
      <c r="I61" s="54" t="n"/>
      <c r="J61" s="54" t="n"/>
      <c r="K61" s="54" t="n"/>
      <c r="L61" s="54" t="n"/>
      <c r="M61" s="54" t="n"/>
      <c r="N61" s="54" t="n"/>
      <c r="O61" s="55">
        <f>IF(M61&lt;&gt;"",M61,IF(K61&lt;&gt;"",K61,IF(I61&lt;&gt;"",I61,"")))</f>
        <v/>
      </c>
      <c r="P61" s="55">
        <f>IF(O61="","",IF(O61="PENDIENTE","Pendiente",IF(O61="NO EJECUTABLE","No ejecutable",IF(O61="VERIFICAR","Por verificar",IF(AND(F61="No cumple",O61="CUMPLE"),"Mejora",IF(AND(F61="No cumple",O61="PARCIAL"),"Mejora parcial",IF(AND(OR(F61="Cumple",F61="Sin ejecutar"),OR(O61="NO CUMPLE",O61="PARCIAL")),IF(F61="Cumple","Regresión","Falla nueva"),IF(AND(F61="No cumple",O61="NO CUMPLE"),"Sigue fallando","Se mantiene"))))))))</f>
        <v/>
      </c>
    </row>
    <row r="62" ht="15" customHeight="1" s="29">
      <c r="A62" s="34" t="n">
        <v>50</v>
      </c>
      <c r="B62" s="34" t="n"/>
      <c r="C62" s="34" t="inlineStr">
        <is>
          <t>Validar IVA</t>
        </is>
      </c>
      <c r="D62" s="34" t="n">
        <v>0</v>
      </c>
      <c r="E62" s="34" t="n"/>
      <c r="F62" s="53" t="inlineStr">
        <is>
          <t>Sin ejecutar</t>
        </is>
      </c>
      <c r="G62" s="53" t="n"/>
      <c r="H62" s="53" t="n"/>
      <c r="I62" s="54" t="n"/>
      <c r="J62" s="54" t="n"/>
      <c r="K62" s="54" t="n"/>
      <c r="L62" s="54" t="n"/>
      <c r="M62" s="54" t="n"/>
      <c r="N62" s="54" t="n"/>
      <c r="O62" s="55">
        <f>IF(M62&lt;&gt;"",M62,IF(K62&lt;&gt;"",K62,IF(I62&lt;&gt;"",I62,"")))</f>
        <v/>
      </c>
      <c r="P62" s="55">
        <f>IF(O62="","",IF(O62="PENDIENTE","Pendiente",IF(O62="NO EJECUTABLE","No ejecutable",IF(O62="VERIFICAR","Por verificar",IF(AND(F62="No cumple",O62="CUMPLE"),"Mejora",IF(AND(F62="No cumple",O62="PARCIAL"),"Mejora parcial",IF(AND(OR(F62="Cumple",F62="Sin ejecutar"),OR(O62="NO CUMPLE",O62="PARCIAL")),IF(F62="Cumple","Regresión","Falla nueva"),IF(AND(F62="No cumple",O62="NO CUMPLE"),"Sigue fallando","Se mantiene"))))))))</f>
        <v/>
      </c>
    </row>
    <row r="63" ht="15" customHeight="1" s="29">
      <c r="A63" s="34" t="n">
        <v>51</v>
      </c>
      <c r="B63" s="34" t="n"/>
      <c r="C63" s="34" t="inlineStr">
        <is>
          <t>Validar RIVA</t>
        </is>
      </c>
      <c r="D63" s="34" t="n">
        <v>0</v>
      </c>
      <c r="E63" s="34" t="n"/>
      <c r="F63" s="53" t="inlineStr">
        <is>
          <t>Sin ejecutar</t>
        </is>
      </c>
      <c r="G63" s="53" t="n"/>
      <c r="H63" s="53" t="n"/>
      <c r="I63" s="54" t="n"/>
      <c r="J63" s="54" t="n"/>
      <c r="K63" s="54" t="n"/>
      <c r="L63" s="54" t="n"/>
      <c r="M63" s="54" t="n"/>
      <c r="N63" s="54" t="n"/>
      <c r="O63" s="55">
        <f>IF(M63&lt;&gt;"",M63,IF(K63&lt;&gt;"",K63,IF(I63&lt;&gt;"",I63,"")))</f>
        <v/>
      </c>
      <c r="P63" s="55">
        <f>IF(O63="","",IF(O63="PENDIENTE","Pendiente",IF(O63="NO EJECUTABLE","No ejecutable",IF(O63="VERIFICAR","Por verificar",IF(AND(F63="No cumple",O63="CUMPLE"),"Mejora",IF(AND(F63="No cumple",O63="PARCIAL"),"Mejora parcial",IF(AND(OR(F63="Cumple",F63="Sin ejecutar"),OR(O63="NO CUMPLE",O63="PARCIAL")),IF(F63="Cumple","Regresión","Falla nueva"),IF(AND(F63="No cumple",O63="NO CUMPLE"),"Sigue fallando","Se mantiene"))))))))</f>
        <v/>
      </c>
    </row>
    <row r="64" ht="15" customHeight="1" s="29">
      <c r="A64" s="34" t="n">
        <v>52</v>
      </c>
      <c r="B64" s="34" t="n"/>
      <c r="C64" s="34" t="inlineStr">
        <is>
          <t>Validar RISR</t>
        </is>
      </c>
      <c r="D64" s="34" t="n">
        <v>0</v>
      </c>
      <c r="E64" s="34" t="n"/>
      <c r="F64" s="53" t="inlineStr">
        <is>
          <t>Sin ejecutar</t>
        </is>
      </c>
      <c r="G64" s="53" t="n"/>
      <c r="H64" s="53" t="n"/>
      <c r="I64" s="54" t="n"/>
      <c r="J64" s="54" t="n"/>
      <c r="K64" s="54" t="n"/>
      <c r="L64" s="54" t="n"/>
      <c r="M64" s="54" t="n"/>
      <c r="N64" s="54" t="n"/>
      <c r="O64" s="55">
        <f>IF(M64&lt;&gt;"",M64,IF(K64&lt;&gt;"",K64,IF(I64&lt;&gt;"",I64,"")))</f>
        <v/>
      </c>
      <c r="P64" s="55">
        <f>IF(O64="","",IF(O64="PENDIENTE","Pendiente",IF(O64="NO EJECUTABLE","No ejecutable",IF(O64="VERIFICAR","Por verificar",IF(AND(F64="No cumple",O64="CUMPLE"),"Mejora",IF(AND(F64="No cumple",O64="PARCIAL"),"Mejora parcial",IF(AND(OR(F64="Cumple",F64="Sin ejecutar"),OR(O64="NO CUMPLE",O64="PARCIAL")),IF(F64="Cumple","Regresión","Falla nueva"),IF(AND(F64="No cumple",O64="NO CUMPLE"),"Sigue fallando","Se mantiene"))))))))</f>
        <v/>
      </c>
    </row>
    <row r="65" ht="15" customHeight="1" s="29">
      <c r="A65" s="34" t="n">
        <v>53</v>
      </c>
      <c r="B65" s="34" t="n"/>
      <c r="C65" s="34" t="inlineStr">
        <is>
          <t>Validar Pago Neto</t>
        </is>
      </c>
      <c r="D65" s="34" t="n">
        <v>0</v>
      </c>
      <c r="E65" s="34" t="n"/>
      <c r="F65" s="53" t="inlineStr">
        <is>
          <t>Sin ejecutar</t>
        </is>
      </c>
      <c r="G65" s="53" t="n"/>
      <c r="H65" s="53" t="n"/>
      <c r="I65" s="54" t="n"/>
      <c r="J65" s="54" t="n"/>
      <c r="K65" s="54" t="n"/>
      <c r="L65" s="54" t="n"/>
      <c r="M65" s="54" t="n"/>
      <c r="N65" s="54" t="n"/>
      <c r="O65" s="55">
        <f>IF(M65&lt;&gt;"",M65,IF(K65&lt;&gt;"",K65,IF(I65&lt;&gt;"",I65,"")))</f>
        <v/>
      </c>
      <c r="P65" s="55">
        <f>IF(O65="","",IF(O65="PENDIENTE","Pendiente",IF(O65="NO EJECUTABLE","No ejecutable",IF(O65="VERIFICAR","Por verificar",IF(AND(F65="No cumple",O65="CUMPLE"),"Mejora",IF(AND(F65="No cumple",O65="PARCIAL"),"Mejora parcial",IF(AND(OR(F65="Cumple",F65="Sin ejecutar"),OR(O65="NO CUMPLE",O65="PARCIAL")),IF(F65="Cumple","Regresión","Falla nueva"),IF(AND(F65="No cumple",O65="NO CUMPLE"),"Sigue fallando","Se mantiene"))))))))</f>
        <v/>
      </c>
    </row>
    <row r="66" ht="23.85" customHeight="1" s="29">
      <c r="A66" s="34" t="n">
        <v>54</v>
      </c>
      <c r="B66" s="34" t="n"/>
      <c r="C66" s="34" t="inlineStr">
        <is>
          <t>Entrar al detalle del empleado de Seguridad con "Retardo"</t>
        </is>
      </c>
      <c r="D66" s="34" t="n"/>
      <c r="E66" s="34" t="n"/>
      <c r="F66" s="53" t="inlineStr">
        <is>
          <t>Sin ejecutar</t>
        </is>
      </c>
      <c r="G66" s="53" t="n"/>
      <c r="H66" s="53" t="n"/>
      <c r="I66" s="54" t="n"/>
      <c r="J66" s="54" t="n"/>
      <c r="K66" s="54" t="n"/>
      <c r="L66" s="54" t="n"/>
      <c r="M66" s="54" t="n"/>
      <c r="N66" s="54" t="n"/>
      <c r="O66" s="55">
        <f>IF(M66&lt;&gt;"",M66,IF(K66&lt;&gt;"",K66,IF(I66&lt;&gt;"",I66,"")))</f>
        <v/>
      </c>
      <c r="P66" s="55">
        <f>IF(O66="","",IF(O66="PENDIENTE","Pendiente",IF(O66="NO EJECUTABLE","No ejecutable",IF(O66="VERIFICAR","Por verificar",IF(AND(F66="No cumple",O66="CUMPLE"),"Mejora",IF(AND(F66="No cumple",O66="PARCIAL"),"Mejora parcial",IF(AND(OR(F66="Cumple",F66="Sin ejecutar"),OR(O66="NO CUMPLE",O66="PARCIAL")),IF(F66="Cumple","Regresión","Falla nueva"),IF(AND(F66="No cumple",O66="NO CUMPLE"),"Sigue fallando","Se mantiene"))))))))</f>
        <v/>
      </c>
    </row>
    <row r="67" ht="15" customHeight="1" s="29">
      <c r="A67" s="34" t="n">
        <v>55</v>
      </c>
      <c r="B67" s="34" t="n"/>
      <c r="C67" s="34" t="inlineStr">
        <is>
          <t>Validar los siguientes valores:</t>
        </is>
      </c>
      <c r="D67" s="34" t="n"/>
      <c r="E67" s="34" t="n"/>
      <c r="F67" s="53" t="inlineStr">
        <is>
          <t>Sin ejecutar</t>
        </is>
      </c>
      <c r="G67" s="53" t="n"/>
      <c r="H67" s="53" t="n"/>
      <c r="I67" s="54" t="n"/>
      <c r="J67" s="54" t="n"/>
      <c r="K67" s="54" t="n"/>
      <c r="L67" s="54" t="n"/>
      <c r="M67" s="54" t="n"/>
      <c r="N67" s="54" t="n"/>
      <c r="O67" s="55">
        <f>IF(M67&lt;&gt;"",M67,IF(K67&lt;&gt;"",K67,IF(I67&lt;&gt;"",I67,"")))</f>
        <v/>
      </c>
      <c r="P67" s="55">
        <f>IF(O67="","",IF(O67="PENDIENTE","Pendiente",IF(O67="NO EJECUTABLE","No ejecutable",IF(O67="VERIFICAR","Por verificar",IF(AND(F67="No cumple",O67="CUMPLE"),"Mejora",IF(AND(F67="No cumple",O67="PARCIAL"),"Mejora parcial",IF(AND(OR(F67="Cumple",F67="Sin ejecutar"),OR(O67="NO CUMPLE",O67="PARCIAL")),IF(F67="Cumple","Regresión","Falla nueva"),IF(AND(F67="No cumple",O67="NO CUMPLE"),"Sigue fallando","Se mantiene"))))))))</f>
        <v/>
      </c>
    </row>
    <row r="68" ht="46.25" customHeight="1" s="29">
      <c r="A68" s="34" t="n">
        <v>56</v>
      </c>
      <c r="B68" s="34" t="n"/>
      <c r="C68" s="34" t="inlineStr">
        <is>
          <t>Validar Pago Bruto</t>
        </is>
      </c>
      <c r="D68" s="34" t="n">
        <v>150</v>
      </c>
      <c r="E68" s="34" t="n"/>
      <c r="F68" s="53" t="inlineStr">
        <is>
          <t>Sin ejecutar</t>
        </is>
      </c>
      <c r="G68" s="53" t="inlineStr">
        <is>
          <t>Nota original: (*0.5 turnos por penalización de retardo) | Se validarán también combinaciones con los campos de los puestos:</t>
        </is>
      </c>
      <c r="H68" s="53" t="n"/>
      <c r="I68" s="54" t="n"/>
      <c r="J68" s="54" t="n"/>
      <c r="K68" s="54" t="n"/>
      <c r="L68" s="54" t="n"/>
      <c r="M68" s="54" t="n"/>
      <c r="N68" s="54" t="n"/>
      <c r="O68" s="55">
        <f>IF(M68&lt;&gt;"",M68,IF(K68&lt;&gt;"",K68,IF(I68&lt;&gt;"",I68,"")))</f>
        <v/>
      </c>
      <c r="P68" s="55">
        <f>IF(O68="","",IF(O68="PENDIENTE","Pendiente",IF(O68="NO EJECUTABLE","No ejecutable",IF(O68="VERIFICAR","Por verificar",IF(AND(F68="No cumple",O68="CUMPLE"),"Mejora",IF(AND(F68="No cumple",O68="PARCIAL"),"Mejora parcial",IF(AND(OR(F68="Cumple",F68="Sin ejecutar"),OR(O68="NO CUMPLE",O68="PARCIAL")),IF(F68="Cumple","Regresión","Falla nueva"),IF(AND(F68="No cumple",O68="NO CUMPLE"),"Sigue fallando","Se mantiene"))))))))</f>
        <v/>
      </c>
    </row>
    <row r="69" ht="15" customHeight="1" s="29">
      <c r="A69" s="34" t="n">
        <v>57</v>
      </c>
      <c r="B69" s="34" t="n"/>
      <c r="C69" s="34" t="inlineStr">
        <is>
          <t>Validar SDP</t>
        </is>
      </c>
      <c r="D69" s="34" t="n">
        <v>150</v>
      </c>
      <c r="E69" s="34" t="n"/>
      <c r="F69" s="53" t="inlineStr">
        <is>
          <t>Sin ejecutar</t>
        </is>
      </c>
      <c r="G69" s="53" t="inlineStr">
        <is>
          <t>Nota original: "Penalización Retardo"</t>
        </is>
      </c>
      <c r="H69" s="53" t="n"/>
      <c r="I69" s="54" t="n"/>
      <c r="J69" s="54" t="n"/>
      <c r="K69" s="54" t="n"/>
      <c r="L69" s="54" t="n"/>
      <c r="M69" s="54" t="n"/>
      <c r="N69" s="54" t="n"/>
      <c r="O69" s="55">
        <f>IF(M69&lt;&gt;"",M69,IF(K69&lt;&gt;"",K69,IF(I69&lt;&gt;"",I69,"")))</f>
        <v/>
      </c>
      <c r="P69" s="55">
        <f>IF(O69="","",IF(O69="PENDIENTE","Pendiente",IF(O69="NO EJECUTABLE","No ejecutable",IF(O69="VERIFICAR","Por verificar",IF(AND(F69="No cumple",O69="CUMPLE"),"Mejora",IF(AND(F69="No cumple",O69="PARCIAL"),"Mejora parcial",IF(AND(OR(F69="Cumple",F69="Sin ejecutar"),OR(O69="NO CUMPLE",O69="PARCIAL")),IF(F69="Cumple","Regresión","Falla nueva"),IF(AND(F69="No cumple",O69="NO CUMPLE"),"Sigue fallando","Se mantiene"))))))))</f>
        <v/>
      </c>
    </row>
    <row r="70" ht="15" customHeight="1" s="29">
      <c r="A70" s="34" t="n">
        <v>58</v>
      </c>
      <c r="B70" s="34" t="n"/>
      <c r="C70" s="34" t="inlineStr">
        <is>
          <t>Validar IM</t>
        </is>
      </c>
      <c r="D70" s="34" t="n">
        <v>8.380000000000001</v>
      </c>
      <c r="E70" s="34" t="n"/>
      <c r="F70" s="53" t="inlineStr">
        <is>
          <t>Sin ejecutar</t>
        </is>
      </c>
      <c r="G70" s="53" t="inlineStr">
        <is>
          <t>Nota original: "Penalización Falta"</t>
        </is>
      </c>
      <c r="H70" s="53" t="n"/>
      <c r="I70" s="54" t="n"/>
      <c r="J70" s="54" t="n"/>
      <c r="K70" s="54" t="n"/>
      <c r="L70" s="54" t="n"/>
      <c r="M70" s="54" t="n"/>
      <c r="N70" s="54" t="n"/>
      <c r="O70" s="55">
        <f>IF(M70&lt;&gt;"",M70,IF(K70&lt;&gt;"",K70,IF(I70&lt;&gt;"",I70,"")))</f>
        <v/>
      </c>
      <c r="P70" s="55">
        <f>IF(O70="","",IF(O70="PENDIENTE","Pendiente",IF(O70="NO EJECUTABLE","No ejecutable",IF(O70="VERIFICAR","Por verificar",IF(AND(F70="No cumple",O70="CUMPLE"),"Mejora",IF(AND(F70="No cumple",O70="PARCIAL"),"Mejora parcial",IF(AND(OR(F70="Cumple",F70="Sin ejecutar"),OR(O70="NO CUMPLE",O70="PARCIAL")),IF(F70="Cumple","Regresión","Falla nueva"),IF(AND(F70="No cumple",O70="NO CUMPLE"),"Sigue fallando","Se mantiene"))))))))</f>
        <v/>
      </c>
    </row>
    <row r="71" ht="15" customHeight="1" s="29">
      <c r="A71" s="34" t="n">
        <v>59</v>
      </c>
      <c r="B71" s="34" t="n"/>
      <c r="C71" s="34" t="inlineStr">
        <is>
          <t>Validar CF</t>
        </is>
      </c>
      <c r="D71" s="34" t="n">
        <v>0.37</v>
      </c>
      <c r="E71" s="34" t="n"/>
      <c r="F71" s="53" t="inlineStr">
        <is>
          <t>Sin ejecutar</t>
        </is>
      </c>
      <c r="G71" s="53" t="n"/>
      <c r="H71" s="53" t="n"/>
      <c r="I71" s="54" t="n"/>
      <c r="J71" s="54" t="n"/>
      <c r="K71" s="54" t="n"/>
      <c r="L71" s="54" t="n"/>
      <c r="M71" s="54" t="n"/>
      <c r="N71" s="54" t="n"/>
      <c r="O71" s="55">
        <f>IF(M71&lt;&gt;"",M71,IF(K71&lt;&gt;"",K71,IF(I71&lt;&gt;"",I71,"")))</f>
        <v/>
      </c>
      <c r="P71" s="55">
        <f>IF(O71="","",IF(O71="PENDIENTE","Pendiente",IF(O71="NO EJECUTABLE","No ejecutable",IF(O71="VERIFICAR","Por verificar",IF(AND(F71="No cumple",O71="CUMPLE"),"Mejora",IF(AND(F71="No cumple",O71="PARCIAL"),"Mejora parcial",IF(AND(OR(F71="Cumple",F71="Sin ejecutar"),OR(O71="NO CUMPLE",O71="PARCIAL")),IF(F71="Cumple","Regresión","Falla nueva"),IF(AND(F71="No cumple",O71="NO CUMPLE"),"Sigue fallando","Se mantiene"))))))))</f>
        <v/>
      </c>
    </row>
    <row r="72" ht="15" customHeight="1" s="29">
      <c r="A72" s="34" t="n">
        <v>60</v>
      </c>
      <c r="B72" s="34" t="n"/>
      <c r="C72" s="34" t="inlineStr">
        <is>
          <t>Validar SA</t>
        </is>
      </c>
      <c r="D72" s="34" t="n">
        <v>0</v>
      </c>
      <c r="E72" s="34" t="n"/>
      <c r="F72" s="53" t="inlineStr">
        <is>
          <t>Sin ejecutar</t>
        </is>
      </c>
      <c r="G72" s="53" t="n"/>
      <c r="H72" s="53" t="n"/>
      <c r="I72" s="54" t="n"/>
      <c r="J72" s="54" t="n"/>
      <c r="K72" s="54" t="n"/>
      <c r="L72" s="54" t="n"/>
      <c r="M72" s="54" t="n"/>
      <c r="N72" s="54" t="n"/>
      <c r="O72" s="55">
        <f>IF(M72&lt;&gt;"",M72,IF(K72&lt;&gt;"",K72,IF(I72&lt;&gt;"",I72,"")))</f>
        <v/>
      </c>
      <c r="P72" s="55">
        <f>IF(O72="","",IF(O72="PENDIENTE","Pendiente",IF(O72="NO EJECUTABLE","No ejecutable",IF(O72="VERIFICAR","Por verificar",IF(AND(F72="No cumple",O72="CUMPLE"),"Mejora",IF(AND(F72="No cumple",O72="PARCIAL"),"Mejora parcial",IF(AND(OR(F72="Cumple",F72="Sin ejecutar"),OR(O72="NO CUMPLE",O72="PARCIAL")),IF(F72="Cumple","Regresión","Falla nueva"),IF(AND(F72="No cumple",O72="NO CUMPLE"),"Sigue fallando","Se mantiene"))))))))</f>
        <v/>
      </c>
    </row>
    <row r="73" ht="15" customHeight="1" s="29">
      <c r="A73" s="34" t="n">
        <v>61</v>
      </c>
      <c r="B73" s="34" t="n"/>
      <c r="C73" s="34" t="inlineStr">
        <is>
          <t>Validar CG</t>
        </is>
      </c>
      <c r="D73" s="34" t="n">
        <v>0</v>
      </c>
      <c r="E73" s="34" t="n"/>
      <c r="F73" s="53" t="inlineStr">
        <is>
          <t>Sin ejecutar</t>
        </is>
      </c>
      <c r="G73" s="53" t="n"/>
      <c r="H73" s="53" t="n"/>
      <c r="I73" s="54" t="n"/>
      <c r="J73" s="54" t="n"/>
      <c r="K73" s="54" t="n"/>
      <c r="L73" s="54" t="n"/>
      <c r="M73" s="54" t="n"/>
      <c r="N73" s="54" t="n"/>
      <c r="O73" s="55">
        <f>IF(M73&lt;&gt;"",M73,IF(K73&lt;&gt;"",K73,IF(I73&lt;&gt;"",I73,"")))</f>
        <v/>
      </c>
      <c r="P73" s="55">
        <f>IF(O73="","",IF(O73="PENDIENTE","Pendiente",IF(O73="NO EJECUTABLE","No ejecutable",IF(O73="VERIFICAR","Por verificar",IF(AND(F73="No cumple",O73="CUMPLE"),"Mejora",IF(AND(F73="No cumple",O73="PARCIAL"),"Mejora parcial",IF(AND(OR(F73="Cumple",F73="Sin ejecutar"),OR(O73="NO CUMPLE",O73="PARCIAL")),IF(F73="Cumple","Regresión","Falla nueva"),IF(AND(F73="No cumple",O73="NO CUMPLE"),"Sigue fallando","Se mantiene"))))))))</f>
        <v/>
      </c>
    </row>
    <row r="74" ht="15" customHeight="1" s="29">
      <c r="A74" s="34" t="n">
        <v>62</v>
      </c>
      <c r="B74" s="34" t="n"/>
      <c r="C74" s="34" t="inlineStr">
        <is>
          <t>Validar Impuesto Diario</t>
        </is>
      </c>
      <c r="D74" s="34" t="n">
        <v>8.75</v>
      </c>
      <c r="E74" s="34" t="n"/>
      <c r="F74" s="53" t="inlineStr">
        <is>
          <t>Sin ejecutar</t>
        </is>
      </c>
      <c r="G74" s="53" t="n"/>
      <c r="H74" s="53" t="n"/>
      <c r="I74" s="54" t="n"/>
      <c r="J74" s="54" t="n"/>
      <c r="K74" s="54" t="n"/>
      <c r="L74" s="54" t="n"/>
      <c r="M74" s="54" t="n"/>
      <c r="N74" s="54" t="n"/>
      <c r="O74" s="55">
        <f>IF(M74&lt;&gt;"",M74,IF(K74&lt;&gt;"",K74,IF(I74&lt;&gt;"",I74,"")))</f>
        <v/>
      </c>
      <c r="P74" s="55">
        <f>IF(O74="","",IF(O74="PENDIENTE","Pendiente",IF(O74="NO EJECUTABLE","No ejecutable",IF(O74="VERIFICAR","Por verificar",IF(AND(F74="No cumple",O74="CUMPLE"),"Mejora",IF(AND(F74="No cumple",O74="PARCIAL"),"Mejora parcial",IF(AND(OR(F74="Cumple",F74="Sin ejecutar"),OR(O74="NO CUMPLE",O74="PARCIAL")),IF(F74="Cumple","Regresión","Falla nueva"),IF(AND(F74="No cumple",O74="NO CUMPLE"),"Sigue fallando","Se mantiene"))))))))</f>
        <v/>
      </c>
    </row>
    <row r="75" ht="15" customHeight="1" s="29">
      <c r="A75" s="34" t="n">
        <v>63</v>
      </c>
      <c r="B75" s="34" t="n"/>
      <c r="C75" s="34" t="inlineStr">
        <is>
          <t>Validar IT</t>
        </is>
      </c>
      <c r="D75" s="34" t="n">
        <v>8.75</v>
      </c>
      <c r="E75" s="34" t="n"/>
      <c r="F75" s="53" t="inlineStr">
        <is>
          <t>Sin ejecutar</t>
        </is>
      </c>
      <c r="G75" s="53" t="n"/>
      <c r="H75" s="53" t="n"/>
      <c r="I75" s="54" t="n"/>
      <c r="J75" s="54" t="n"/>
      <c r="K75" s="54" t="n"/>
      <c r="L75" s="54" t="n"/>
      <c r="M75" s="54" t="n"/>
      <c r="N75" s="54" t="n"/>
      <c r="O75" s="55">
        <f>IF(M75&lt;&gt;"",M75,IF(K75&lt;&gt;"",K75,IF(I75&lt;&gt;"",I75,"")))</f>
        <v/>
      </c>
      <c r="P75" s="55">
        <f>IF(O75="","",IF(O75="PENDIENTE","Pendiente",IF(O75="NO EJECUTABLE","No ejecutable",IF(O75="VERIFICAR","Por verificar",IF(AND(F75="No cumple",O75="CUMPLE"),"Mejora",IF(AND(F75="No cumple",O75="PARCIAL"),"Mejora parcial",IF(AND(OR(F75="Cumple",F75="Sin ejecutar"),OR(O75="NO CUMPLE",O75="PARCIAL")),IF(F75="Cumple","Regresión","Falla nueva"),IF(AND(F75="No cumple",O75="NO CUMPLE"),"Sigue fallando","Se mantiene"))))))))</f>
        <v/>
      </c>
    </row>
    <row r="76" ht="15" customHeight="1" s="29">
      <c r="A76" s="34" t="n">
        <v>64</v>
      </c>
      <c r="B76" s="34" t="n"/>
      <c r="C76" s="34" t="inlineStr">
        <is>
          <t>Validar IVA</t>
        </is>
      </c>
      <c r="D76" s="34" t="n">
        <v>0</v>
      </c>
      <c r="E76" s="34" t="n"/>
      <c r="F76" s="53" t="inlineStr">
        <is>
          <t>Sin ejecutar</t>
        </is>
      </c>
      <c r="G76" s="53" t="n"/>
      <c r="H76" s="53" t="n"/>
      <c r="I76" s="54" t="n"/>
      <c r="J76" s="54" t="n"/>
      <c r="K76" s="54" t="n"/>
      <c r="L76" s="54" t="n"/>
      <c r="M76" s="54" t="n"/>
      <c r="N76" s="54" t="n"/>
      <c r="O76" s="55">
        <f>IF(M76&lt;&gt;"",M76,IF(K76&lt;&gt;"",K76,IF(I76&lt;&gt;"",I76,"")))</f>
        <v/>
      </c>
      <c r="P76" s="55">
        <f>IF(O76="","",IF(O76="PENDIENTE","Pendiente",IF(O76="NO EJECUTABLE","No ejecutable",IF(O76="VERIFICAR","Por verificar",IF(AND(F76="No cumple",O76="CUMPLE"),"Mejora",IF(AND(F76="No cumple",O76="PARCIAL"),"Mejora parcial",IF(AND(OR(F76="Cumple",F76="Sin ejecutar"),OR(O76="NO CUMPLE",O76="PARCIAL")),IF(F76="Cumple","Regresión","Falla nueva"),IF(AND(F76="No cumple",O76="NO CUMPLE"),"Sigue fallando","Se mantiene"))))))))</f>
        <v/>
      </c>
    </row>
    <row r="77" ht="15" customHeight="1" s="29">
      <c r="A77" s="34" t="n">
        <v>65</v>
      </c>
      <c r="B77" s="34" t="n"/>
      <c r="C77" s="34" t="inlineStr">
        <is>
          <t>Validar RIVA</t>
        </is>
      </c>
      <c r="D77" s="34" t="n">
        <v>0</v>
      </c>
      <c r="E77" s="34" t="n"/>
      <c r="F77" s="53" t="inlineStr">
        <is>
          <t>Sin ejecutar</t>
        </is>
      </c>
      <c r="G77" s="53" t="n"/>
      <c r="H77" s="53" t="n"/>
      <c r="I77" s="54" t="n"/>
      <c r="J77" s="54" t="n"/>
      <c r="K77" s="54" t="n"/>
      <c r="L77" s="54" t="n"/>
      <c r="M77" s="54" t="n"/>
      <c r="N77" s="54" t="n"/>
      <c r="O77" s="55">
        <f>IF(M77&lt;&gt;"",M77,IF(K77&lt;&gt;"",K77,IF(I77&lt;&gt;"",I77,"")))</f>
        <v/>
      </c>
      <c r="P77" s="55">
        <f>IF(O77="","",IF(O77="PENDIENTE","Pendiente",IF(O77="NO EJECUTABLE","No ejecutable",IF(O77="VERIFICAR","Por verificar",IF(AND(F77="No cumple",O77="CUMPLE"),"Mejora",IF(AND(F77="No cumple",O77="PARCIAL"),"Mejora parcial",IF(AND(OR(F77="Cumple",F77="Sin ejecutar"),OR(O77="NO CUMPLE",O77="PARCIAL")),IF(F77="Cumple","Regresión","Falla nueva"),IF(AND(F77="No cumple",O77="NO CUMPLE"),"Sigue fallando","Se mantiene"))))))))</f>
        <v/>
      </c>
    </row>
    <row r="78" ht="15" customHeight="1" s="29">
      <c r="A78" s="34" t="n">
        <v>66</v>
      </c>
      <c r="B78" s="34" t="n"/>
      <c r="C78" s="34" t="inlineStr">
        <is>
          <t>Validar RISR</t>
        </is>
      </c>
      <c r="D78" s="34" t="n">
        <v>0</v>
      </c>
      <c r="E78" s="34" t="n"/>
      <c r="F78" s="53" t="inlineStr">
        <is>
          <t>Sin ejecutar</t>
        </is>
      </c>
      <c r="G78" s="53" t="n"/>
      <c r="H78" s="53" t="n"/>
      <c r="I78" s="54" t="n"/>
      <c r="J78" s="54" t="n"/>
      <c r="K78" s="54" t="n"/>
      <c r="L78" s="54" t="n"/>
      <c r="M78" s="54" t="n"/>
      <c r="N78" s="54" t="n"/>
      <c r="O78" s="55">
        <f>IF(M78&lt;&gt;"",M78,IF(K78&lt;&gt;"",K78,IF(I78&lt;&gt;"",I78,"")))</f>
        <v/>
      </c>
      <c r="P78" s="55">
        <f>IF(O78="","",IF(O78="PENDIENTE","Pendiente",IF(O78="NO EJECUTABLE","No ejecutable",IF(O78="VERIFICAR","Por verificar",IF(AND(F78="No cumple",O78="CUMPLE"),"Mejora",IF(AND(F78="No cumple",O78="PARCIAL"),"Mejora parcial",IF(AND(OR(F78="Cumple",F78="Sin ejecutar"),OR(O78="NO CUMPLE",O78="PARCIAL")),IF(F78="Cumple","Regresión","Falla nueva"),IF(AND(F78="No cumple",O78="NO CUMPLE"),"Sigue fallando","Se mantiene"))))))))</f>
        <v/>
      </c>
    </row>
    <row r="79" ht="15" customHeight="1" s="29">
      <c r="A79" s="34" t="n">
        <v>67</v>
      </c>
      <c r="B79" s="34" t="n"/>
      <c r="C79" s="34" t="inlineStr">
        <is>
          <t>Validar Pago Neto</t>
        </is>
      </c>
      <c r="D79" s="34" t="n">
        <v>141.25</v>
      </c>
      <c r="E79" s="34" t="n"/>
      <c r="F79" s="53" t="inlineStr">
        <is>
          <t>Sin ejecutar</t>
        </is>
      </c>
      <c r="G79" s="53" t="n"/>
      <c r="H79" s="53" t="n"/>
      <c r="I79" s="54" t="n"/>
      <c r="J79" s="54" t="n"/>
      <c r="K79" s="54" t="n"/>
      <c r="L79" s="54" t="n"/>
      <c r="M79" s="54" t="n"/>
      <c r="N79" s="54" t="n"/>
      <c r="O79" s="55">
        <f>IF(M79&lt;&gt;"",M79,IF(K79&lt;&gt;"",K79,IF(I79&lt;&gt;"",I79,"")))</f>
        <v/>
      </c>
      <c r="P79" s="55">
        <f>IF(O79="","",IF(O79="PENDIENTE","Pendiente",IF(O79="NO EJECUTABLE","No ejecutable",IF(O79="VERIFICAR","Por verificar",IF(AND(F79="No cumple",O79="CUMPLE"),"Mejora",IF(AND(F79="No cumple",O79="PARCIAL"),"Mejora parcial",IF(AND(OR(F79="Cumple",F79="Sin ejecutar"),OR(O79="NO CUMPLE",O79="PARCIAL")),IF(F79="Cumple","Regresión","Falla nueva"),IF(AND(F79="No cumple",O79="NO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79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79 K13:K79 M13:M79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P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ESC-23 — Extras</t>
        </is>
      </c>
    </row>
    <row r="2" ht="15" customHeight="1" s="29">
      <c r="A2" s="45" t="inlineStr">
        <is>
          <t>Núm. original</t>
        </is>
      </c>
      <c r="B2" s="46" t="inlineStr">
        <is>
          <t>Escenario 23</t>
        </is>
      </c>
      <c r="I2" s="45" t="inlineStr">
        <is>
          <t>Pasos</t>
        </is>
      </c>
      <c r="J2" s="45">
        <f>COUNT(A13:A29)</f>
        <v/>
      </c>
    </row>
    <row r="3" ht="15" customHeight="1" s="29">
      <c r="A3" s="45" t="inlineStr">
        <is>
          <t>Módulo</t>
        </is>
      </c>
      <c r="B3" s="46" t="inlineStr">
        <is>
          <t>Nómina</t>
        </is>
      </c>
      <c r="I3" s="45" t="inlineStr">
        <is>
          <t>Ejecutados (último)</t>
        </is>
      </c>
      <c r="J3" s="45">
        <f>COUNTIF(O13:O29,"?*")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extras: captura, autorización por perfil, aprobación masiva e impacto en el pago.</t>
        </is>
      </c>
      <c r="I4" s="45" t="inlineStr">
        <is>
          <t>CUMPLE (último)</t>
        </is>
      </c>
      <c r="J4" s="45">
        <f>COUNTIF(O13:O29,"CUMPLE")</f>
        <v/>
      </c>
    </row>
    <row r="5" ht="15" customHeight="1" s="29">
      <c r="A5" s="45" t="inlineStr">
        <is>
          <t>Funcionalidades</t>
        </is>
      </c>
      <c r="B5" s="46" t="inlineStr">
        <is>
          <t>Captura de extra · catálogo de conceptos · permisos por perfil · aprobación masiva · recálculo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ESC-22</t>
        </is>
      </c>
    </row>
    <row r="7" ht="15" customHeight="1" s="29">
      <c r="A7" s="45" t="inlineStr">
        <is>
          <t>Sesión sugerida</t>
        </is>
      </c>
      <c r="B7" s="46" t="inlineStr">
        <is>
          <t>S13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23.85" customHeight="1" s="29">
      <c r="A13" s="34" t="n">
        <v>1</v>
      </c>
      <c r="B13" s="34" t="n"/>
      <c r="C13" s="34" t="inlineStr">
        <is>
          <t>Se toma como base el resultado del escenario anterior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15" customHeight="1" s="29">
      <c r="A14" s="34" t="n">
        <v>2</v>
      </c>
      <c r="B14" s="34" t="n"/>
      <c r="C14" s="34" t="inlineStr">
        <is>
          <t>Entrar a la pantalla de Extras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>Crear un nuevo Extra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Introducir los siguientes valores: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/>
      <c r="C17" s="34" t="inlineStr">
        <is>
          <t>Validar IdEmpleado</t>
        </is>
      </c>
      <c r="D17" s="34" t="inlineStr">
        <is>
          <t>El empleado de seguridad al que se validó el resultado del cálculo</t>
        </is>
      </c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>Validar IdEventoDetalle</t>
        </is>
      </c>
      <c r="D18" s="34" t="inlineStr">
        <is>
          <t>El generado en el escenario anterior</t>
        </is>
      </c>
      <c r="E18" s="34" t="n"/>
      <c r="F18" s="53" t="inlineStr">
        <is>
          <t>Sin ejecutar</t>
        </is>
      </c>
      <c r="G18" s="53" t="inlineStr">
        <is>
          <t>Nota original: En base a este ID, el sistema captura</t>
        </is>
      </c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Validar Turnos</t>
        </is>
      </c>
      <c r="D19" s="34" t="n">
        <v>0.5</v>
      </c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/>
      <c r="C20" s="34" t="inlineStr">
        <is>
          <t>Validar Concepto Extra</t>
        </is>
      </c>
      <c r="D20" s="34" t="inlineStr">
        <is>
          <t>Pago Turno Extra</t>
        </is>
      </c>
      <c r="E20" s="34" t="n"/>
      <c r="F20" s="53" t="inlineStr">
        <is>
          <t>Sin ejecutar</t>
        </is>
      </c>
      <c r="G20" s="53" t="inlineStr">
        <is>
          <t>Nota original: Aquí se validará el catálogo de Conceptos de Extra</t>
        </is>
      </c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15" customHeight="1" s="29">
      <c r="A21" s="34" t="n">
        <v>9</v>
      </c>
      <c r="B21" s="34" t="n"/>
      <c r="C21" s="34" t="inlineStr">
        <is>
          <t>Dar a guardar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23.85" customHeight="1" s="29">
      <c r="A22" s="34" t="n">
        <v>10</v>
      </c>
      <c r="B22" s="34" t="n"/>
      <c r="C22" s="34" t="inlineStr">
        <is>
          <t>Validar que Julio (o su perfil) no pueda Autorizar el Extra (sólo modificarlo)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23.85" customHeight="1" s="29">
      <c r="A23" s="34" t="n">
        <v>11</v>
      </c>
      <c r="B23" s="34" t="n"/>
      <c r="C23" s="34" t="inlineStr">
        <is>
          <t>Acceder con un usuario de Gerente de Nóminas (Arturo Pérez)</t>
        </is>
      </c>
      <c r="D23" s="34" t="n"/>
      <c r="E23" s="34" t="n"/>
      <c r="F23" s="53" t="inlineStr">
        <is>
          <t>Sin ejecutar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15" customHeight="1" s="29">
      <c r="A24" s="34" t="n">
        <v>12</v>
      </c>
      <c r="B24" s="34" t="n"/>
      <c r="C24" s="34" t="inlineStr">
        <is>
          <t>Ir a la pantalla de Extras</t>
        </is>
      </c>
      <c r="D24" s="34" t="n"/>
      <c r="E24" s="34" t="n"/>
      <c r="F24" s="53" t="inlineStr">
        <is>
          <t>Sin ejecutar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15" customHeight="1" s="29">
      <c r="A25" s="34" t="n">
        <v>13</v>
      </c>
      <c r="B25" s="34" t="n"/>
      <c r="C25" s="34" t="inlineStr">
        <is>
          <t>Filtrar por Estatus "En Espera"</t>
        </is>
      </c>
      <c r="D25" s="34" t="n"/>
      <c r="E25" s="34" t="n"/>
      <c r="F25" s="53" t="inlineStr">
        <is>
          <t>Sin ejecutar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23.85" customHeight="1" s="29">
      <c r="A26" s="34" t="n">
        <v>14</v>
      </c>
      <c r="B26" s="34" t="n"/>
      <c r="C26" s="34" t="inlineStr">
        <is>
          <t>Realizar una aprobación masiva de todos los extras "En Espera"</t>
        </is>
      </c>
      <c r="D26" s="34" t="n"/>
      <c r="E26" s="34" t="n"/>
      <c r="F26" s="53" t="inlineStr">
        <is>
          <t>Sin ejecutar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15" customHeight="1" s="29">
      <c r="A27" s="34" t="n">
        <v>15</v>
      </c>
      <c r="B27" s="34" t="n"/>
      <c r="C27" s="34" t="inlineStr">
        <is>
          <t>Volver a la pantalla de "Pagos Honorarios"</t>
        </is>
      </c>
      <c r="D27" s="34" t="n"/>
      <c r="E27" s="34" t="n"/>
      <c r="F27" s="53" t="inlineStr">
        <is>
          <t>Sin ejecutar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23.85" customHeight="1" s="29">
      <c r="A28" s="34" t="n">
        <v>16</v>
      </c>
      <c r="B28" s="34" t="n"/>
      <c r="C28" s="34" t="inlineStr">
        <is>
          <t>Busco el ID de empleado al que se le aplicó el Extra</t>
        </is>
      </c>
      <c r="D28" s="34" t="n"/>
      <c r="E28" s="34" t="n"/>
      <c r="F28" s="53" t="inlineStr">
        <is>
          <t>Sin ejecutar</t>
        </is>
      </c>
      <c r="G28" s="53" t="n"/>
      <c r="H28" s="53" t="n"/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15" customHeight="1" s="29">
      <c r="A29" s="34" t="n">
        <v>17</v>
      </c>
      <c r="B29" s="34" t="n"/>
      <c r="C29" s="34" t="inlineStr">
        <is>
          <t>Validar que el Pago Bruto pasa de $300 a $450</t>
        </is>
      </c>
      <c r="D29" s="34" t="n"/>
      <c r="E29" s="34" t="n"/>
      <c r="F29" s="53" t="inlineStr">
        <is>
          <t>Sin ejecutar</t>
        </is>
      </c>
      <c r="G29" s="53" t="n"/>
      <c r="H29" s="53" t="n"/>
      <c r="I29" s="54" t="n"/>
      <c r="J29" s="54" t="n"/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9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9 K13:K29 M13:M29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P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ESC-24 — Dispersión de nómina y Lista de Precauciones</t>
        </is>
      </c>
    </row>
    <row r="2" ht="15" customHeight="1" s="29">
      <c r="A2" s="45" t="inlineStr">
        <is>
          <t>Núm. original</t>
        </is>
      </c>
      <c r="B2" s="46" t="inlineStr">
        <is>
          <t>Escenario 24</t>
        </is>
      </c>
      <c r="I2" s="45" t="inlineStr">
        <is>
          <t>Pasos</t>
        </is>
      </c>
      <c r="J2" s="45">
        <f>COUNT(A13:A22)</f>
        <v/>
      </c>
    </row>
    <row r="3" ht="15" customHeight="1" s="29">
      <c r="A3" s="45" t="inlineStr">
        <is>
          <t>Módulo</t>
        </is>
      </c>
      <c r="B3" s="46" t="inlineStr">
        <is>
          <t>Nómina</t>
        </is>
      </c>
      <c r="I3" s="45" t="inlineStr">
        <is>
          <t>Ejecutados (último)</t>
        </is>
      </c>
      <c r="J3" s="45">
        <f>COUNTIF(O13:O22,"?*")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el cierre de nómina: lista de precauciones y archivo de dispersión.</t>
        </is>
      </c>
      <c r="I4" s="45" t="inlineStr">
        <is>
          <t>CUMPLE (último)</t>
        </is>
      </c>
      <c r="J4" s="45">
        <f>COUNTIF(O13:O22,"CUMPLE")</f>
        <v/>
      </c>
    </row>
    <row r="5" ht="15" customHeight="1" s="29">
      <c r="A5" s="45" t="inlineStr">
        <is>
          <t>Funcionalidades</t>
        </is>
      </c>
      <c r="B5" s="46" t="inlineStr">
        <is>
          <t>Precauciones previas · empresa pagadora · archivo de dispersión · periodo de nómina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ESC-22, ESC-23</t>
        </is>
      </c>
    </row>
    <row r="7" ht="15" customHeight="1" s="29">
      <c r="A7" s="45" t="inlineStr">
        <is>
          <t>Sesión sugerida</t>
        </is>
      </c>
      <c r="B7" s="46" t="inlineStr">
        <is>
          <t>S13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35.05" customHeight="1" s="29">
      <c r="A13" s="34" t="n">
        <v>1</v>
      </c>
      <c r="B13" s="34" t="n"/>
      <c r="C13" s="34" t="inlineStr">
        <is>
          <t>En base a los escenarios anteriores, y antes de continuar con los pasos, validar que al menos un empleado no tenga Empresa Pagadora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15" customHeight="1" s="29">
      <c r="A14" s="34" t="n">
        <v>2</v>
      </c>
      <c r="B14" s="34" t="n"/>
      <c r="C14" s="34" t="inlineStr">
        <is>
          <t>Entrar a la pantalla de Proceso Cierre de Nómina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>Crear un nuevo elemento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Introducir Título y Periodo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/>
      <c r="C17" s="34" t="inlineStr">
        <is>
          <t>Seleccionar que se ejecute la "Lista de Precauciones Previas al Cierre"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15" customHeight="1" s="29">
      <c r="A18" s="34" t="n">
        <v>6</v>
      </c>
      <c r="B18" s="34" t="n"/>
      <c r="C18" s="34" t="inlineStr">
        <is>
          <t>Dar a Guardar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/>
      <c r="C19" s="34" t="inlineStr">
        <is>
          <t>Validar que al menos aparezca la precaución del empleado no tiene Empresa Pagadora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35.05" customHeight="1" s="29">
      <c r="A20" s="34" t="n">
        <v>8</v>
      </c>
      <c r="B20" s="34" t="n"/>
      <c r="C20" s="34" t="inlineStr">
        <is>
          <t>Validar el fichero de dispersión, donde deben estar 9 de los 10 empleados (el que no tiene empresa, no sale en el fichero)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23.85" customHeight="1" s="29">
      <c r="A21" s="34" t="n">
        <v>9</v>
      </c>
      <c r="B21" s="34" t="n"/>
      <c r="C21" s="34" t="inlineStr">
        <is>
          <t>Validar que los montos que se muestran son los revisados anteriormente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15" customHeight="1" s="29">
      <c r="A22" s="34" t="n">
        <v>10</v>
      </c>
      <c r="B22" s="34" t="n"/>
      <c r="C22" s="34" t="inlineStr">
        <is>
          <t>Validar que se actualizó el periodo de nómina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2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2 K13:K22 M13:M22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P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ESC-25 — Asignación de folio para empleados con Honorarios Normales</t>
        </is>
      </c>
    </row>
    <row r="2" ht="15" customHeight="1" s="29">
      <c r="A2" s="45" t="inlineStr">
        <is>
          <t>Núm. original</t>
        </is>
      </c>
      <c r="B2" s="46" t="inlineStr">
        <is>
          <t>Escenario 25</t>
        </is>
      </c>
      <c r="I2" s="45" t="inlineStr">
        <is>
          <t>Pasos</t>
        </is>
      </c>
      <c r="J2" s="45">
        <f>COUNT(A13:A29)</f>
        <v/>
      </c>
    </row>
    <row r="3" ht="15" customHeight="1" s="29">
      <c r="A3" s="45" t="inlineStr">
        <is>
          <t>Módulo</t>
        </is>
      </c>
      <c r="B3" s="46" t="inlineStr">
        <is>
          <t>Nómina</t>
        </is>
      </c>
      <c r="I3" s="45" t="inlineStr">
        <is>
          <t>Ejecutados (último)</t>
        </is>
      </c>
      <c r="J3" s="45">
        <f>COUNTIF(O13:O29,"?*")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la asignación de folio fiscal para honorarios normales y su efecto en el importe.</t>
        </is>
      </c>
      <c r="I4" s="45" t="inlineStr">
        <is>
          <t>CUMPLE (último)</t>
        </is>
      </c>
      <c r="J4" s="45">
        <f>COUNTIF(O13:O29,"CUMPLE")</f>
        <v/>
      </c>
    </row>
    <row r="5" ht="15" customHeight="1" s="29">
      <c r="A5" s="45" t="inlineStr">
        <is>
          <t>Funcionalidades</t>
        </is>
      </c>
      <c r="B5" s="46" t="inlineStr">
        <is>
          <t>Régimen honorarios normales · lista de asistencia · asignación de folios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S14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23.85" customHeight="1" s="29">
      <c r="A13" s="34" t="n">
        <v>1</v>
      </c>
      <c r="B13" s="34" t="n"/>
      <c r="C13" s="34" t="inlineStr">
        <is>
          <t>Crear un pedido de producción con complejidad "Teatro Metropótinan" y días de show 1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15" customHeight="1" s="29">
      <c r="A14" s="34" t="n">
        <v>2</v>
      </c>
      <c r="B14" s="34" t="n"/>
      <c r="C14" s="34" t="inlineStr">
        <is>
          <t>Crear un detalle de pedido "Productor B"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/>
      <c r="C15" s="34" t="inlineStr">
        <is>
          <t>La fecha de cita debe ser de al menos un día anterior al día en curso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Cantidad 1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35.05" customHeight="1" s="29">
      <c r="A17" s="34" t="n">
        <v>5</v>
      </c>
      <c r="B17" s="34" t="n"/>
      <c r="C17" s="34" t="inlineStr">
        <is>
          <t>Realizar una asignación forzada  de un empleado que tenga régimen honorarios normales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>Acceder a la pantalla para la captura de lista manual de asistencia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/>
      <c r="C19" s="34" t="inlineStr">
        <is>
          <t>Validar que aparece el empleado asigando, como que asistió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15" customHeight="1" s="29">
      <c r="A20" s="34" t="n">
        <v>8</v>
      </c>
      <c r="B20" s="34" t="n"/>
      <c r="C20" s="34" t="inlineStr">
        <is>
          <t>Acceder a la pantalla de pagos honorarios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23.85" customHeight="1" s="29">
      <c r="A21" s="34" t="n">
        <v>9</v>
      </c>
      <c r="B21" s="34" t="n"/>
      <c r="C21" s="34" t="inlineStr">
        <is>
          <t>Validar que aparece el empleado asignado con periodo 0, pero que no muestra importe a pagar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15" customHeight="1" s="29">
      <c r="A22" s="34" t="n">
        <v>10</v>
      </c>
      <c r="B22" s="34" t="n"/>
      <c r="C22" s="34" t="inlineStr">
        <is>
          <t>Acceder a la pantalla de Asignación de Folios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15" customHeight="1" s="29">
      <c r="A23" s="34" t="n">
        <v>11</v>
      </c>
      <c r="B23" s="34" t="n"/>
      <c r="C23" s="34" t="inlineStr">
        <is>
          <t>Buscar al empleado asignado</t>
        </is>
      </c>
      <c r="D23" s="34" t="n"/>
      <c r="E23" s="34" t="n"/>
      <c r="F23" s="53" t="inlineStr">
        <is>
          <t>Sin ejecutar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35.05" customHeight="1" s="29">
      <c r="A24" s="34" t="n">
        <v>12</v>
      </c>
      <c r="B24" s="34" t="n"/>
      <c r="C24" s="34" t="inlineStr">
        <is>
          <t>Validar que en la pantalla aparecen los datos del empleado, reservaciones procesadas sin folio, y  las reservaciones procesadas con folio</t>
        </is>
      </c>
      <c r="D24" s="34" t="n"/>
      <c r="E24" s="34" t="n"/>
      <c r="F24" s="53" t="inlineStr">
        <is>
          <t>Sin ejecutar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35.05" customHeight="1" s="29">
      <c r="A25" s="34" t="n">
        <v>13</v>
      </c>
      <c r="B25" s="34" t="n"/>
      <c r="C25" s="34" t="inlineStr">
        <is>
          <t>En el apartado de reservacioens procesadas sin folio, aparece el detalle del pedido con un monto bruto a pagar</t>
        </is>
      </c>
      <c r="D25" s="34" t="n"/>
      <c r="E25" s="34" t="n"/>
      <c r="F25" s="53" t="inlineStr">
        <is>
          <t>Sin ejecutar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15" customHeight="1" s="29">
      <c r="A26" s="34" t="n">
        <v>14</v>
      </c>
      <c r="B26" s="34" t="n"/>
      <c r="C26" s="34" t="inlineStr">
        <is>
          <t>Asignar un número de folio fiscal y guardar.</t>
        </is>
      </c>
      <c r="D26" s="34" t="n"/>
      <c r="E26" s="34" t="n"/>
      <c r="F26" s="53" t="inlineStr">
        <is>
          <t>Sin ejecutar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35.05" customHeight="1" s="29">
      <c r="A27" s="34" t="n">
        <v>15</v>
      </c>
      <c r="B27" s="34" t="n"/>
      <c r="C27" s="34" t="inlineStr">
        <is>
          <t>Refrescar la pantalla, y validar que el detalle del pedido y folio aparece en las reservaciones procesadas con folio.</t>
        </is>
      </c>
      <c r="D27" s="34" t="n"/>
      <c r="E27" s="34" t="n"/>
      <c r="F27" s="53" t="inlineStr">
        <is>
          <t>Sin ejecutar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15" customHeight="1" s="29">
      <c r="A28" s="34" t="n">
        <v>16</v>
      </c>
      <c r="B28" s="34" t="n"/>
      <c r="C28" s="34" t="inlineStr">
        <is>
          <t>Regresar a la pantalla de pagos honorarios</t>
        </is>
      </c>
      <c r="D28" s="34" t="n"/>
      <c r="E28" s="34" t="n"/>
      <c r="F28" s="53" t="inlineStr">
        <is>
          <t>Sin ejecutar</t>
        </is>
      </c>
      <c r="G28" s="53" t="n"/>
      <c r="H28" s="53" t="n"/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35.05" customHeight="1" s="29">
      <c r="A29" s="34" t="n">
        <v>17</v>
      </c>
      <c r="B29" s="34" t="n"/>
      <c r="C29" s="34" t="inlineStr">
        <is>
          <t>Validar que el empleado aparece con periodo 0, pero en este caso ya cuenta con importe a pagar.</t>
        </is>
      </c>
      <c r="D29" s="34" t="n"/>
      <c r="E29" s="34" t="n"/>
      <c r="F29" s="53" t="inlineStr">
        <is>
          <t>Sin ejecutar</t>
        </is>
      </c>
      <c r="G29" s="53" t="n"/>
      <c r="H29" s="53" t="n"/>
      <c r="I29" s="54" t="n"/>
      <c r="J29" s="54" t="n"/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9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9 K13:K29 M13:M29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P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ESC-26 — Pedidos de runners para validar los sueldos</t>
        </is>
      </c>
    </row>
    <row r="2" ht="15" customHeight="1" s="29">
      <c r="A2" s="45" t="inlineStr">
        <is>
          <t>Núm. original</t>
        </is>
      </c>
      <c r="B2" s="46" t="inlineStr">
        <is>
          <t>Escenario 26</t>
        </is>
      </c>
      <c r="I2" s="45" t="inlineStr">
        <is>
          <t>Pasos</t>
        </is>
      </c>
      <c r="J2" s="45">
        <f>COUNT(A13:A46)</f>
        <v/>
      </c>
    </row>
    <row r="3" ht="15" customHeight="1" s="29">
      <c r="A3" s="45" t="inlineStr">
        <is>
          <t>Módulo</t>
        </is>
      </c>
      <c r="B3" s="46" t="inlineStr">
        <is>
          <t>Nómina</t>
        </is>
      </c>
      <c r="I3" s="45" t="inlineStr">
        <is>
          <t>Ejecutados (último)</t>
        </is>
      </c>
      <c r="J3" s="45">
        <f>COUNTIF(O13:O46,"?*")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el sueldo de runners por fase y sus impuestos (IVA, RIVA, RISR).</t>
        </is>
      </c>
      <c r="I4" s="45" t="inlineStr">
        <is>
          <t>CUMPLE (último)</t>
        </is>
      </c>
      <c r="J4" s="45">
        <f>COUNTIF(O13:O46,"CUMPLE")</f>
        <v/>
      </c>
    </row>
    <row r="5" ht="15" customHeight="1" s="29">
      <c r="A5" s="45" t="inlineStr">
        <is>
          <t>Funcionalidades</t>
        </is>
      </c>
      <c r="B5" s="46" t="inlineStr">
        <is>
          <t>Fase de evento runner · días laborados · impuestos · folio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S14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23.85" customHeight="1" s="29">
      <c r="A13" s="34" t="n">
        <v>1</v>
      </c>
      <c r="B13" s="34" t="n"/>
      <c r="C13" s="34" t="inlineStr">
        <is>
          <t>Crear un pedido de producción con complejidad "Teatro Metropólitan" y 1 día de show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Crear un detalle de pedido con las siguientes características: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 xml:space="preserve">   • Puesto: "Runner"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 xml:space="preserve">   • Cantidad: 1 Turnos:1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15" customHeight="1" s="29">
      <c r="A17" s="34" t="n">
        <v>5</v>
      </c>
      <c r="B17" s="34" t="n"/>
      <c r="C17" s="34" t="inlineStr">
        <is>
          <t xml:space="preserve">   • Fase de Evento: Fase 4 Runner (Dia 4)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 xml:space="preserve">   • Fecha de Cita: Una semana antes a la fecha actual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Agregar el Detalle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35.05" customHeight="1" s="29">
      <c r="A20" s="34" t="n">
        <v>8</v>
      </c>
      <c r="B20" s="34" t="n"/>
      <c r="C20" s="34" t="inlineStr">
        <is>
          <t>Realizar una asignación forzada  de un empleado que tenga régimen honorarios normales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23.85" customHeight="1" s="29">
      <c r="A21" s="34" t="n">
        <v>9</v>
      </c>
      <c r="B21" s="34" t="n"/>
      <c r="C21" s="34" t="inlineStr">
        <is>
          <t>Acceder a la pantalla para la captura de lista manual de asistencia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23.85" customHeight="1" s="29">
      <c r="A22" s="34" t="n">
        <v>10</v>
      </c>
      <c r="B22" s="34" t="n"/>
      <c r="C22" s="34" t="inlineStr">
        <is>
          <t>Validar que aparece el empleado asigando, como que asistió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15" customHeight="1" s="29">
      <c r="A23" s="34" t="n">
        <v>11</v>
      </c>
      <c r="B23" s="34" t="n"/>
      <c r="C23" s="34" t="inlineStr">
        <is>
          <t>Acceder a la pantalla de pagos honorarios</t>
        </is>
      </c>
      <c r="D23" s="34" t="n"/>
      <c r="E23" s="34" t="n"/>
      <c r="F23" s="53" t="inlineStr">
        <is>
          <t>Sin ejecutar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23.85" customHeight="1" s="29">
      <c r="A24" s="34" t="n">
        <v>12</v>
      </c>
      <c r="B24" s="34" t="n"/>
      <c r="C24" s="34" t="inlineStr">
        <is>
          <t>Validar que aparece el empleado asignado con periodo 0, pero que no muestra importe a pagar</t>
        </is>
      </c>
      <c r="D24" s="34" t="n"/>
      <c r="E24" s="34" t="n"/>
      <c r="F24" s="53" t="inlineStr">
        <is>
          <t>Sin ejecutar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15" customHeight="1" s="29">
      <c r="A25" s="34" t="n">
        <v>13</v>
      </c>
      <c r="B25" s="34" t="n"/>
      <c r="C25" s="34" t="inlineStr">
        <is>
          <t>Acceder a la pantalla de Asignación de Folios</t>
        </is>
      </c>
      <c r="D25" s="34" t="n"/>
      <c r="E25" s="34" t="n"/>
      <c r="F25" s="53" t="inlineStr">
        <is>
          <t>Sin ejecutar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15" customHeight="1" s="29">
      <c r="A26" s="34" t="n">
        <v>14</v>
      </c>
      <c r="B26" s="34" t="n"/>
      <c r="C26" s="34" t="inlineStr">
        <is>
          <t>Buscar al empleado asignado</t>
        </is>
      </c>
      <c r="D26" s="34" t="n"/>
      <c r="E26" s="34" t="n"/>
      <c r="F26" s="53" t="inlineStr">
        <is>
          <t>Sin ejecutar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35.05" customHeight="1" s="29">
      <c r="A27" s="34" t="n">
        <v>15</v>
      </c>
      <c r="B27" s="34" t="n"/>
      <c r="C27" s="34" t="inlineStr">
        <is>
          <t>Validar que en la pantalla aparecen los datos del empleado, reservaciones procesadas sin folio, y  las reservaciones procesadas con folio</t>
        </is>
      </c>
      <c r="D27" s="34" t="n"/>
      <c r="E27" s="34" t="n"/>
      <c r="F27" s="53" t="inlineStr">
        <is>
          <t>Sin ejecutar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35.05" customHeight="1" s="29">
      <c r="A28" s="34" t="n">
        <v>16</v>
      </c>
      <c r="B28" s="34" t="n"/>
      <c r="C28" s="34" t="inlineStr">
        <is>
          <t>En el apartado de reservacioens procesadas sin folio, aparece el detalle del pedido con un monto bruto a pagar</t>
        </is>
      </c>
      <c r="D28" s="34" t="n"/>
      <c r="E28" s="34" t="n"/>
      <c r="F28" s="53" t="inlineStr">
        <is>
          <t>Sin ejecutar</t>
        </is>
      </c>
      <c r="G28" s="53" t="n"/>
      <c r="H28" s="53" t="n"/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  <row r="29" ht="15" customHeight="1" s="29">
      <c r="A29" s="34" t="n">
        <v>17</v>
      </c>
      <c r="B29" s="34" t="n"/>
      <c r="C29" s="34" t="inlineStr">
        <is>
          <t>Asignar un número de folio fiscal y guardar.</t>
        </is>
      </c>
      <c r="D29" s="34" t="n"/>
      <c r="E29" s="34" t="n"/>
      <c r="F29" s="53" t="inlineStr">
        <is>
          <t>Sin ejecutar</t>
        </is>
      </c>
      <c r="G29" s="53" t="n"/>
      <c r="H29" s="53" t="n"/>
      <c r="I29" s="54" t="n"/>
      <c r="J29" s="54" t="n"/>
      <c r="K29" s="54" t="n"/>
      <c r="L29" s="54" t="n"/>
      <c r="M29" s="54" t="n"/>
      <c r="N29" s="54" t="n"/>
      <c r="O29" s="55">
        <f>IF(M29&lt;&gt;"",M29,IF(K29&lt;&gt;"",K29,IF(I29&lt;&gt;"",I29,"")))</f>
        <v/>
      </c>
      <c r="P29" s="55">
        <f>IF(O29="","",IF(O29="PENDIENTE","Pendiente",IF(O29="NO EJECUTABLE","No ejecutable",IF(O29="VERIFICAR","Por verificar",IF(AND(F29="No cumple",O29="CUMPLE"),"Mejora",IF(AND(F29="No cumple",O29="PARCIAL"),"Mejora parcial",IF(AND(OR(F29="Cumple",F29="Sin ejecutar"),OR(O29="NO CUMPLE",O29="PARCIAL")),IF(F29="Cumple","Regresión","Falla nueva"),IF(AND(F29="No cumple",O29="NO CUMPLE"),"Sigue fallando","Se mantiene"))))))))</f>
        <v/>
      </c>
    </row>
    <row r="30" ht="35.05" customHeight="1" s="29">
      <c r="A30" s="34" t="n">
        <v>18</v>
      </c>
      <c r="B30" s="34" t="n"/>
      <c r="C30" s="34" t="inlineStr">
        <is>
          <t>Refrescar la pantalla, y validar que el detalle del pedido y folio aparece en las reservaciones procesadas con folio.</t>
        </is>
      </c>
      <c r="D30" s="34" t="n"/>
      <c r="E30" s="34" t="n"/>
      <c r="F30" s="53" t="inlineStr">
        <is>
          <t>Sin ejecutar</t>
        </is>
      </c>
      <c r="G30" s="53" t="n"/>
      <c r="H30" s="53" t="n"/>
      <c r="I30" s="54" t="n"/>
      <c r="J30" s="54" t="n"/>
      <c r="K30" s="54" t="n"/>
      <c r="L30" s="54" t="n"/>
      <c r="M30" s="54" t="n"/>
      <c r="N30" s="54" t="n"/>
      <c r="O30" s="55">
        <f>IF(M30&lt;&gt;"",M30,IF(K30&lt;&gt;"",K30,IF(I30&lt;&gt;"",I30,"")))</f>
        <v/>
      </c>
      <c r="P30" s="55">
        <f>IF(O30="","",IF(O30="PENDIENTE","Pendiente",IF(O30="NO EJECUTABLE","No ejecutable",IF(O30="VERIFICAR","Por verificar",IF(AND(F30="No cumple",O30="CUMPLE"),"Mejora",IF(AND(F30="No cumple",O30="PARCIAL"),"Mejora parcial",IF(AND(OR(F30="Cumple",F30="Sin ejecutar"),OR(O30="NO CUMPLE",O30="PARCIAL")),IF(F30="Cumple","Regresión","Falla nueva"),IF(AND(F30="No cumple",O30="NO CUMPLE"),"Sigue fallando","Se mantiene"))))))))</f>
        <v/>
      </c>
    </row>
    <row r="31" ht="15" customHeight="1" s="29">
      <c r="A31" s="34" t="n">
        <v>19</v>
      </c>
      <c r="B31" s="34" t="n"/>
      <c r="C31" s="34" t="inlineStr">
        <is>
          <t>Regresar a la pantalla de pagos honorarios</t>
        </is>
      </c>
      <c r="D31" s="34" t="n"/>
      <c r="E31" s="34" t="n"/>
      <c r="F31" s="53" t="inlineStr">
        <is>
          <t>Sin ejecutar</t>
        </is>
      </c>
      <c r="G31" s="53" t="n"/>
      <c r="H31" s="53" t="n"/>
      <c r="I31" s="54" t="n"/>
      <c r="J31" s="54" t="n"/>
      <c r="K31" s="54" t="n"/>
      <c r="L31" s="54" t="n"/>
      <c r="M31" s="54" t="n"/>
      <c r="N31" s="54" t="n"/>
      <c r="O31" s="55">
        <f>IF(M31&lt;&gt;"",M31,IF(K31&lt;&gt;"",K31,IF(I31&lt;&gt;"",I31,"")))</f>
        <v/>
      </c>
      <c r="P31" s="55">
        <f>IF(O31="","",IF(O31="PENDIENTE","Pendiente",IF(O31="NO EJECUTABLE","No ejecutable",IF(O31="VERIFICAR","Por verificar",IF(AND(F31="No cumple",O31="CUMPLE"),"Mejora",IF(AND(F31="No cumple",O31="PARCIAL"),"Mejora parcial",IF(AND(OR(F31="Cumple",F31="Sin ejecutar"),OR(O31="NO CUMPLE",O31="PARCIAL")),IF(F31="Cumple","Regresión","Falla nueva"),IF(AND(F31="No cumple",O31="NO CUMPLE"),"Sigue fallando","Se mantiene"))))))))</f>
        <v/>
      </c>
    </row>
    <row r="32" ht="35.05" customHeight="1" s="29">
      <c r="A32" s="34" t="n">
        <v>20</v>
      </c>
      <c r="B32" s="34" t="n"/>
      <c r="C32" s="34" t="inlineStr">
        <is>
          <t>Validar que el empleado aparece con periodo 0, pero en este caso ya cuenta con importe. Acceder al detalle del empleado</t>
        </is>
      </c>
      <c r="D32" s="34" t="n"/>
      <c r="E32" s="34" t="n"/>
      <c r="F32" s="53" t="inlineStr">
        <is>
          <t>Sin ejecutar</t>
        </is>
      </c>
      <c r="G32" s="53" t="n"/>
      <c r="H32" s="53" t="n"/>
      <c r="I32" s="54" t="n"/>
      <c r="J32" s="54" t="n"/>
      <c r="K32" s="54" t="n"/>
      <c r="L32" s="54" t="n"/>
      <c r="M32" s="54" t="n"/>
      <c r="N32" s="54" t="n"/>
      <c r="O32" s="55">
        <f>IF(M32&lt;&gt;"",M32,IF(K32&lt;&gt;"",K32,IF(I32&lt;&gt;"",I32,"")))</f>
        <v/>
      </c>
      <c r="P32" s="55">
        <f>IF(O32="","",IF(O32="PENDIENTE","Pendiente",IF(O32="NO EJECUTABLE","No ejecutable",IF(O32="VERIFICAR","Por verificar",IF(AND(F32="No cumple",O32="CUMPLE"),"Mejora",IF(AND(F32="No cumple",O32="PARCIAL"),"Mejora parcial",IF(AND(OR(F32="Cumple",F32="Sin ejecutar"),OR(O32="NO CUMPLE",O32="PARCIAL")),IF(F32="Cumple","Regresión","Falla nueva"),IF(AND(F32="No cumple",O32="NO CUMPLE"),"Sigue fallando","Se mantiene"))))))))</f>
        <v/>
      </c>
    </row>
    <row r="33" ht="15" customHeight="1" s="29">
      <c r="A33" s="34" t="n">
        <v>21</v>
      </c>
      <c r="B33" s="34" t="n"/>
      <c r="C33" s="34" t="inlineStr">
        <is>
          <t>Validar los siguientes conceptos:</t>
        </is>
      </c>
      <c r="D33" s="34" t="n"/>
      <c r="E33" s="34" t="n"/>
      <c r="F33" s="53" t="inlineStr">
        <is>
          <t>Sin ejecutar</t>
        </is>
      </c>
      <c r="G33" s="53" t="n"/>
      <c r="H33" s="53" t="n"/>
      <c r="I33" s="54" t="n"/>
      <c r="J33" s="54" t="n"/>
      <c r="K33" s="54" t="n"/>
      <c r="L33" s="54" t="n"/>
      <c r="M33" s="54" t="n"/>
      <c r="N33" s="54" t="n"/>
      <c r="O33" s="55">
        <f>IF(M33&lt;&gt;"",M33,IF(K33&lt;&gt;"",K33,IF(I33&lt;&gt;"",I33,"")))</f>
        <v/>
      </c>
      <c r="P33" s="55">
        <f>IF(O33="","",IF(O33="PENDIENTE","Pendiente",IF(O33="NO EJECUTABLE","No ejecutable",IF(O33="VERIFICAR","Por verificar",IF(AND(F33="No cumple",O33="CUMPLE"),"Mejora",IF(AND(F33="No cumple",O33="PARCIAL"),"Mejora parcial",IF(AND(OR(F33="Cumple",F33="Sin ejecutar"),OR(O33="NO CUMPLE",O33="PARCIAL")),IF(F33="Cumple","Regresión","Falla nueva"),IF(AND(F33="No cumple",O33="NO CUMPLE"),"Sigue fallando","Se mantiene"))))))))</f>
        <v/>
      </c>
    </row>
    <row r="34" ht="15" customHeight="1" s="29">
      <c r="A34" s="34" t="n">
        <v>22</v>
      </c>
      <c r="B34" s="34" t="n"/>
      <c r="C34" s="34" t="inlineStr">
        <is>
          <t>Validar Días Laborados</t>
        </is>
      </c>
      <c r="D34" s="34" t="n">
        <v>4</v>
      </c>
      <c r="E34" s="34" t="n"/>
      <c r="F34" s="53" t="inlineStr">
        <is>
          <t>Sin ejecutar</t>
        </is>
      </c>
      <c r="G34" s="53" t="n"/>
      <c r="H34" s="53" t="n"/>
      <c r="I34" s="54" t="n"/>
      <c r="J34" s="54" t="n"/>
      <c r="K34" s="54" t="n"/>
      <c r="L34" s="54" t="n"/>
      <c r="M34" s="54" t="n"/>
      <c r="N34" s="54" t="n"/>
      <c r="O34" s="55">
        <f>IF(M34&lt;&gt;"",M34,IF(K34&lt;&gt;"",K34,IF(I34&lt;&gt;"",I34,"")))</f>
        <v/>
      </c>
      <c r="P34" s="55">
        <f>IF(O34="","",IF(O34="PENDIENTE","Pendiente",IF(O34="NO EJECUTABLE","No ejecutable",IF(O34="VERIFICAR","Por verificar",IF(AND(F34="No cumple",O34="CUMPLE"),"Mejora",IF(AND(F34="No cumple",O34="PARCIAL"),"Mejora parcial",IF(AND(OR(F34="Cumple",F34="Sin ejecutar"),OR(O34="NO CUMPLE",O34="PARCIAL")),IF(F34="Cumple","Regresión","Falla nueva"),IF(AND(F34="No cumple",O34="NO CUMPLE"),"Sigue fallando","Se mantiene"))))))))</f>
        <v/>
      </c>
    </row>
    <row r="35" ht="15" customHeight="1" s="29">
      <c r="A35" s="34" t="n">
        <v>23</v>
      </c>
      <c r="B35" s="34" t="n"/>
      <c r="C35" s="34" t="inlineStr">
        <is>
          <t>Validar Pago Bruto</t>
        </is>
      </c>
      <c r="D35" s="34" t="n">
        <v>5600</v>
      </c>
      <c r="E35" s="34" t="n"/>
      <c r="F35" s="53" t="inlineStr">
        <is>
          <t>Sin ejecutar</t>
        </is>
      </c>
      <c r="G35" s="53" t="n"/>
      <c r="H35" s="53" t="n"/>
      <c r="I35" s="54" t="n"/>
      <c r="J35" s="54" t="n"/>
      <c r="K35" s="54" t="n"/>
      <c r="L35" s="54" t="n"/>
      <c r="M35" s="54" t="n"/>
      <c r="N35" s="54" t="n"/>
      <c r="O35" s="55">
        <f>IF(M35&lt;&gt;"",M35,IF(K35&lt;&gt;"",K35,IF(I35&lt;&gt;"",I35,"")))</f>
        <v/>
      </c>
      <c r="P35" s="55">
        <f>IF(O35="","",IF(O35="PENDIENTE","Pendiente",IF(O35="NO EJECUTABLE","No ejecutable",IF(O35="VERIFICAR","Por verificar",IF(AND(F35="No cumple",O35="CUMPLE"),"Mejora",IF(AND(F35="No cumple",O35="PARCIAL"),"Mejora parcial",IF(AND(OR(F35="Cumple",F35="Sin ejecutar"),OR(O35="NO CUMPLE",O35="PARCIAL")),IF(F35="Cumple","Regresión","Falla nueva"),IF(AND(F35="No cumple",O35="NO CUMPLE"),"Sigue fallando","Se mantiene"))))))))</f>
        <v/>
      </c>
    </row>
    <row r="36" ht="15" customHeight="1" s="29">
      <c r="A36" s="34" t="n">
        <v>24</v>
      </c>
      <c r="B36" s="34" t="n"/>
      <c r="C36" s="34" t="inlineStr">
        <is>
          <t>Validar SDP</t>
        </is>
      </c>
      <c r="D36" s="34" t="n">
        <v>0</v>
      </c>
      <c r="E36" s="34" t="n"/>
      <c r="F36" s="53" t="inlineStr">
        <is>
          <t>Sin ejecutar</t>
        </is>
      </c>
      <c r="G36" s="53" t="n"/>
      <c r="H36" s="53" t="n"/>
      <c r="I36" s="54" t="n"/>
      <c r="J36" s="54" t="n"/>
      <c r="K36" s="54" t="n"/>
      <c r="L36" s="54" t="n"/>
      <c r="M36" s="54" t="n"/>
      <c r="N36" s="54" t="n"/>
      <c r="O36" s="55">
        <f>IF(M36&lt;&gt;"",M36,IF(K36&lt;&gt;"",K36,IF(I36&lt;&gt;"",I36,"")))</f>
        <v/>
      </c>
      <c r="P36" s="55">
        <f>IF(O36="","",IF(O36="PENDIENTE","Pendiente",IF(O36="NO EJECUTABLE","No ejecutable",IF(O36="VERIFICAR","Por verificar",IF(AND(F36="No cumple",O36="CUMPLE"),"Mejora",IF(AND(F36="No cumple",O36="PARCIAL"),"Mejora parcial",IF(AND(OR(F36="Cumple",F36="Sin ejecutar"),OR(O36="NO CUMPLE",O36="PARCIAL")),IF(F36="Cumple","Regresión","Falla nueva"),IF(AND(F36="No cumple",O36="NO CUMPLE"),"Sigue fallando","Se mantiene"))))))))</f>
        <v/>
      </c>
    </row>
    <row r="37" ht="15" customHeight="1" s="29">
      <c r="A37" s="34" t="n">
        <v>25</v>
      </c>
      <c r="B37" s="34" t="n"/>
      <c r="C37" s="34" t="inlineStr">
        <is>
          <t>Validar IM</t>
        </is>
      </c>
      <c r="D37" s="34" t="n">
        <v>0</v>
      </c>
      <c r="E37" s="34" t="n"/>
      <c r="F37" s="53" t="inlineStr">
        <is>
          <t>Sin ejecutar</t>
        </is>
      </c>
      <c r="G37" s="53" t="n"/>
      <c r="H37" s="53" t="n"/>
      <c r="I37" s="54" t="n"/>
      <c r="J37" s="54" t="n"/>
      <c r="K37" s="54" t="n"/>
      <c r="L37" s="54" t="n"/>
      <c r="M37" s="54" t="n"/>
      <c r="N37" s="54" t="n"/>
      <c r="O37" s="55">
        <f>IF(M37&lt;&gt;"",M37,IF(K37&lt;&gt;"",K37,IF(I37&lt;&gt;"",I37,"")))</f>
        <v/>
      </c>
      <c r="P37" s="55">
        <f>IF(O37="","",IF(O37="PENDIENTE","Pendiente",IF(O37="NO EJECUTABLE","No ejecutable",IF(O37="VERIFICAR","Por verificar",IF(AND(F37="No cumple",O37="CUMPLE"),"Mejora",IF(AND(F37="No cumple",O37="PARCIAL"),"Mejora parcial",IF(AND(OR(F37="Cumple",F37="Sin ejecutar"),OR(O37="NO CUMPLE",O37="PARCIAL")),IF(F37="Cumple","Regresión","Falla nueva"),IF(AND(F37="No cumple",O37="NO CUMPLE"),"Sigue fallando","Se mantiene"))))))))</f>
        <v/>
      </c>
    </row>
    <row r="38" ht="15" customHeight="1" s="29">
      <c r="A38" s="34" t="n">
        <v>26</v>
      </c>
      <c r="B38" s="34" t="n"/>
      <c r="C38" s="34" t="inlineStr">
        <is>
          <t>Validar CF</t>
        </is>
      </c>
      <c r="D38" s="34" t="n">
        <v>0</v>
      </c>
      <c r="E38" s="34" t="n"/>
      <c r="F38" s="53" t="inlineStr">
        <is>
          <t>Sin ejecutar</t>
        </is>
      </c>
      <c r="G38" s="53" t="n"/>
      <c r="H38" s="53" t="n"/>
      <c r="I38" s="54" t="n"/>
      <c r="J38" s="54" t="n"/>
      <c r="K38" s="54" t="n"/>
      <c r="L38" s="54" t="n"/>
      <c r="M38" s="54" t="n"/>
      <c r="N38" s="54" t="n"/>
      <c r="O38" s="55">
        <f>IF(M38&lt;&gt;"",M38,IF(K38&lt;&gt;"",K38,IF(I38&lt;&gt;"",I38,"")))</f>
        <v/>
      </c>
      <c r="P38" s="55">
        <f>IF(O38="","",IF(O38="PENDIENTE","Pendiente",IF(O38="NO EJECUTABLE","No ejecutable",IF(O38="VERIFICAR","Por verificar",IF(AND(F38="No cumple",O38="CUMPLE"),"Mejora",IF(AND(F38="No cumple",O38="PARCIAL"),"Mejora parcial",IF(AND(OR(F38="Cumple",F38="Sin ejecutar"),OR(O38="NO CUMPLE",O38="PARCIAL")),IF(F38="Cumple","Regresión","Falla nueva"),IF(AND(F38="No cumple",O38="NO CUMPLE"),"Sigue fallando","Se mantiene"))))))))</f>
        <v/>
      </c>
    </row>
    <row r="39" ht="15" customHeight="1" s="29">
      <c r="A39" s="34" t="n">
        <v>27</v>
      </c>
      <c r="B39" s="34" t="n"/>
      <c r="C39" s="34" t="inlineStr">
        <is>
          <t>Validar SA</t>
        </is>
      </c>
      <c r="D39" s="34" t="n">
        <v>0</v>
      </c>
      <c r="E39" s="34" t="n"/>
      <c r="F39" s="53" t="inlineStr">
        <is>
          <t>Sin ejecutar</t>
        </is>
      </c>
      <c r="G39" s="53" t="n"/>
      <c r="H39" s="53" t="n"/>
      <c r="I39" s="54" t="n"/>
      <c r="J39" s="54" t="n"/>
      <c r="K39" s="54" t="n"/>
      <c r="L39" s="54" t="n"/>
      <c r="M39" s="54" t="n"/>
      <c r="N39" s="54" t="n"/>
      <c r="O39" s="55">
        <f>IF(M39&lt;&gt;"",M39,IF(K39&lt;&gt;"",K39,IF(I39&lt;&gt;"",I39,"")))</f>
        <v/>
      </c>
      <c r="P39" s="55">
        <f>IF(O39="","",IF(O39="PENDIENTE","Pendiente",IF(O39="NO EJECUTABLE","No ejecutable",IF(O39="VERIFICAR","Por verificar",IF(AND(F39="No cumple",O39="CUMPLE"),"Mejora",IF(AND(F39="No cumple",O39="PARCIAL"),"Mejora parcial",IF(AND(OR(F39="Cumple",F39="Sin ejecutar"),OR(O39="NO CUMPLE",O39="PARCIAL")),IF(F39="Cumple","Regresión","Falla nueva"),IF(AND(F39="No cumple",O39="NO CUMPLE"),"Sigue fallando","Se mantiene"))))))))</f>
        <v/>
      </c>
    </row>
    <row r="40" ht="15" customHeight="1" s="29">
      <c r="A40" s="34" t="n">
        <v>28</v>
      </c>
      <c r="B40" s="34" t="n"/>
      <c r="C40" s="34" t="inlineStr">
        <is>
          <t>Validar CG</t>
        </is>
      </c>
      <c r="D40" s="34" t="n">
        <v>0</v>
      </c>
      <c r="E40" s="34" t="n"/>
      <c r="F40" s="53" t="inlineStr">
        <is>
          <t>Sin ejecutar</t>
        </is>
      </c>
      <c r="G40" s="53" t="n"/>
      <c r="H40" s="53" t="n"/>
      <c r="I40" s="54" t="n"/>
      <c r="J40" s="54" t="n"/>
      <c r="K40" s="54" t="n"/>
      <c r="L40" s="54" t="n"/>
      <c r="M40" s="54" t="n"/>
      <c r="N40" s="54" t="n"/>
      <c r="O40" s="55">
        <f>IF(M40&lt;&gt;"",M40,IF(K40&lt;&gt;"",K40,IF(I40&lt;&gt;"",I40,"")))</f>
        <v/>
      </c>
      <c r="P40" s="55">
        <f>IF(O40="","",IF(O40="PENDIENTE","Pendiente",IF(O40="NO EJECUTABLE","No ejecutable",IF(O40="VERIFICAR","Por verificar",IF(AND(F40="No cumple",O40="CUMPLE"),"Mejora",IF(AND(F40="No cumple",O40="PARCIAL"),"Mejora parcial",IF(AND(OR(F40="Cumple",F40="Sin ejecutar"),OR(O40="NO CUMPLE",O40="PARCIAL")),IF(F40="Cumple","Regresión","Falla nueva"),IF(AND(F40="No cumple",O40="NO CUMPLE"),"Sigue fallando","Se mantiene"))))))))</f>
        <v/>
      </c>
    </row>
    <row r="41" ht="15" customHeight="1" s="29">
      <c r="A41" s="34" t="n">
        <v>29</v>
      </c>
      <c r="B41" s="34" t="n"/>
      <c r="C41" s="34" t="inlineStr">
        <is>
          <t>Validar Impuesto Diario</t>
        </is>
      </c>
      <c r="D41" s="34" t="n">
        <v>0</v>
      </c>
      <c r="E41" s="34" t="n"/>
      <c r="F41" s="53" t="inlineStr">
        <is>
          <t>Sin ejecutar</t>
        </is>
      </c>
      <c r="G41" s="53" t="n"/>
      <c r="H41" s="53" t="n"/>
      <c r="I41" s="54" t="n"/>
      <c r="J41" s="54" t="n"/>
      <c r="K41" s="54" t="n"/>
      <c r="L41" s="54" t="n"/>
      <c r="M41" s="54" t="n"/>
      <c r="N41" s="54" t="n"/>
      <c r="O41" s="55">
        <f>IF(M41&lt;&gt;"",M41,IF(K41&lt;&gt;"",K41,IF(I41&lt;&gt;"",I41,"")))</f>
        <v/>
      </c>
      <c r="P41" s="55">
        <f>IF(O41="","",IF(O41="PENDIENTE","Pendiente",IF(O41="NO EJECUTABLE","No ejecutable",IF(O41="VERIFICAR","Por verificar",IF(AND(F41="No cumple",O41="CUMPLE"),"Mejora",IF(AND(F41="No cumple",O41="PARCIAL"),"Mejora parcial",IF(AND(OR(F41="Cumple",F41="Sin ejecutar"),OR(O41="NO CUMPLE",O41="PARCIAL")),IF(F41="Cumple","Regresión","Falla nueva"),IF(AND(F41="No cumple",O41="NO CUMPLE"),"Sigue fallando","Se mantiene"))))))))</f>
        <v/>
      </c>
    </row>
    <row r="42" ht="15" customHeight="1" s="29">
      <c r="A42" s="34" t="n">
        <v>30</v>
      </c>
      <c r="B42" s="34" t="n"/>
      <c r="C42" s="34" t="inlineStr">
        <is>
          <t>Validar IT</t>
        </is>
      </c>
      <c r="D42" s="34" t="n">
        <v>0</v>
      </c>
      <c r="E42" s="34" t="n"/>
      <c r="F42" s="53" t="inlineStr">
        <is>
          <t>Sin ejecutar</t>
        </is>
      </c>
      <c r="G42" s="53" t="n"/>
      <c r="H42" s="53" t="n"/>
      <c r="I42" s="54" t="n"/>
      <c r="J42" s="54" t="n"/>
      <c r="K42" s="54" t="n"/>
      <c r="L42" s="54" t="n"/>
      <c r="M42" s="54" t="n"/>
      <c r="N42" s="54" t="n"/>
      <c r="O42" s="55">
        <f>IF(M42&lt;&gt;"",M42,IF(K42&lt;&gt;"",K42,IF(I42&lt;&gt;"",I42,"")))</f>
        <v/>
      </c>
      <c r="P42" s="55">
        <f>IF(O42="","",IF(O42="PENDIENTE","Pendiente",IF(O42="NO EJECUTABLE","No ejecutable",IF(O42="VERIFICAR","Por verificar",IF(AND(F42="No cumple",O42="CUMPLE"),"Mejora",IF(AND(F42="No cumple",O42="PARCIAL"),"Mejora parcial",IF(AND(OR(F42="Cumple",F42="Sin ejecutar"),OR(O42="NO CUMPLE",O42="PARCIAL")),IF(F42="Cumple","Regresión","Falla nueva"),IF(AND(F42="No cumple",O42="NO CUMPLE"),"Sigue fallando","Se mantiene"))))))))</f>
        <v/>
      </c>
    </row>
    <row r="43" ht="15" customHeight="1" s="29">
      <c r="A43" s="34" t="n">
        <v>31</v>
      </c>
      <c r="B43" s="34" t="n"/>
      <c r="C43" s="34" t="inlineStr">
        <is>
          <t>Validar IVA</t>
        </is>
      </c>
      <c r="D43" s="34" t="n">
        <v>896</v>
      </c>
      <c r="E43" s="34" t="n"/>
      <c r="F43" s="53" t="inlineStr">
        <is>
          <t>Sin ejecutar</t>
        </is>
      </c>
      <c r="G43" s="53" t="n"/>
      <c r="H43" s="53" t="n"/>
      <c r="I43" s="54" t="n"/>
      <c r="J43" s="54" t="n"/>
      <c r="K43" s="54" t="n"/>
      <c r="L43" s="54" t="n"/>
      <c r="M43" s="54" t="n"/>
      <c r="N43" s="54" t="n"/>
      <c r="O43" s="55">
        <f>IF(M43&lt;&gt;"",M43,IF(K43&lt;&gt;"",K43,IF(I43&lt;&gt;"",I43,"")))</f>
        <v/>
      </c>
      <c r="P43" s="55">
        <f>IF(O43="","",IF(O43="PENDIENTE","Pendiente",IF(O43="NO EJECUTABLE","No ejecutable",IF(O43="VERIFICAR","Por verificar",IF(AND(F43="No cumple",O43="CUMPLE"),"Mejora",IF(AND(F43="No cumple",O43="PARCIAL"),"Mejora parcial",IF(AND(OR(F43="Cumple",F43="Sin ejecutar"),OR(O43="NO CUMPLE",O43="PARCIAL")),IF(F43="Cumple","Regresión","Falla nueva"),IF(AND(F43="No cumple",O43="NO CUMPLE"),"Sigue fallando","Se mantiene"))))))))</f>
        <v/>
      </c>
    </row>
    <row r="44" ht="15" customHeight="1" s="29">
      <c r="A44" s="34" t="n">
        <v>32</v>
      </c>
      <c r="B44" s="34" t="n"/>
      <c r="C44" s="34" t="inlineStr">
        <is>
          <t>Validar RIVA</t>
        </is>
      </c>
      <c r="D44" s="34" t="n">
        <v>596.96</v>
      </c>
      <c r="E44" s="34" t="n"/>
      <c r="F44" s="53" t="inlineStr">
        <is>
          <t>Sin ejecutar</t>
        </is>
      </c>
      <c r="G44" s="53" t="n"/>
      <c r="H44" s="53" t="n"/>
      <c r="I44" s="54" t="n"/>
      <c r="J44" s="54" t="n"/>
      <c r="K44" s="54" t="n"/>
      <c r="L44" s="54" t="n"/>
      <c r="M44" s="54" t="n"/>
      <c r="N44" s="54" t="n"/>
      <c r="O44" s="55">
        <f>IF(M44&lt;&gt;"",M44,IF(K44&lt;&gt;"",K44,IF(I44&lt;&gt;"",I44,"")))</f>
        <v/>
      </c>
      <c r="P44" s="55">
        <f>IF(O44="","",IF(O44="PENDIENTE","Pendiente",IF(O44="NO EJECUTABLE","No ejecutable",IF(O44="VERIFICAR","Por verificar",IF(AND(F44="No cumple",O44="CUMPLE"),"Mejora",IF(AND(F44="No cumple",O44="PARCIAL"),"Mejora parcial",IF(AND(OR(F44="Cumple",F44="Sin ejecutar"),OR(O44="NO CUMPLE",O44="PARCIAL")),IF(F44="Cumple","Regresión","Falla nueva"),IF(AND(F44="No cumple",O44="NO CUMPLE"),"Sigue fallando","Se mantiene"))))))))</f>
        <v/>
      </c>
    </row>
    <row r="45" ht="15" customHeight="1" s="29">
      <c r="A45" s="34" t="n">
        <v>33</v>
      </c>
      <c r="B45" s="34" t="n"/>
      <c r="C45" s="34" t="inlineStr">
        <is>
          <t>Validar RISR</t>
        </is>
      </c>
      <c r="D45" s="34" t="n">
        <v>560</v>
      </c>
      <c r="E45" s="34" t="n"/>
      <c r="F45" s="53" t="inlineStr">
        <is>
          <t>Sin ejecutar</t>
        </is>
      </c>
      <c r="G45" s="53" t="n"/>
      <c r="H45" s="53" t="n"/>
      <c r="I45" s="54" t="n"/>
      <c r="J45" s="54" t="n"/>
      <c r="K45" s="54" t="n"/>
      <c r="L45" s="54" t="n"/>
      <c r="M45" s="54" t="n"/>
      <c r="N45" s="54" t="n"/>
      <c r="O45" s="55">
        <f>IF(M45&lt;&gt;"",M45,IF(K45&lt;&gt;"",K45,IF(I45&lt;&gt;"",I45,"")))</f>
        <v/>
      </c>
      <c r="P45" s="55">
        <f>IF(O45="","",IF(O45="PENDIENTE","Pendiente",IF(O45="NO EJECUTABLE","No ejecutable",IF(O45="VERIFICAR","Por verificar",IF(AND(F45="No cumple",O45="CUMPLE"),"Mejora",IF(AND(F45="No cumple",O45="PARCIAL"),"Mejora parcial",IF(AND(OR(F45="Cumple",F45="Sin ejecutar"),OR(O45="NO CUMPLE",O45="PARCIAL")),IF(F45="Cumple","Regresión","Falla nueva"),IF(AND(F45="No cumple",O45="NO CUMPLE"),"Sigue fallando","Se mantiene"))))))))</f>
        <v/>
      </c>
    </row>
    <row r="46" ht="15" customHeight="1" s="29">
      <c r="A46" s="34" t="n">
        <v>34</v>
      </c>
      <c r="B46" s="34" t="n"/>
      <c r="C46" s="34" t="inlineStr">
        <is>
          <t>Validar Pago Neto</t>
        </is>
      </c>
      <c r="D46" s="34" t="n">
        <v>5339.04</v>
      </c>
      <c r="E46" s="34" t="n"/>
      <c r="F46" s="53" t="inlineStr">
        <is>
          <t>Sin ejecutar</t>
        </is>
      </c>
      <c r="G46" s="53" t="n"/>
      <c r="H46" s="53" t="n"/>
      <c r="I46" s="54" t="n"/>
      <c r="J46" s="54" t="n"/>
      <c r="K46" s="54" t="n"/>
      <c r="L46" s="54" t="n"/>
      <c r="M46" s="54" t="n"/>
      <c r="N46" s="54" t="n"/>
      <c r="O46" s="55">
        <f>IF(M46&lt;&gt;"",M46,IF(K46&lt;&gt;"",K46,IF(I46&lt;&gt;"",I46,"")))</f>
        <v/>
      </c>
      <c r="P46" s="55">
        <f>IF(O46="","",IF(O46="PENDIENTE","Pendiente",IF(O46="NO EJECUTABLE","No ejecutable",IF(O46="VERIFICAR","Por verificar",IF(AND(F46="No cumple",O46="CUMPLE"),"Mejora",IF(AND(F46="No cumple",O46="PARCIAL"),"Mejora parcial",IF(AND(OR(F46="Cumple",F46="Sin ejecutar"),OR(O46="NO CUMPLE",O46="PARCIAL")),IF(F46="Cumple","Regresión","Falla nueva"),IF(AND(F46="No cumple",O46="NO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46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46 K13:K46 M13:M46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P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ESC-27 — Facturación</t>
        </is>
      </c>
    </row>
    <row r="2" ht="15" customHeight="1" s="29">
      <c r="A2" s="45" t="inlineStr">
        <is>
          <t>Núm. original</t>
        </is>
      </c>
      <c r="B2" s="46" t="inlineStr">
        <is>
          <t>Escenario 28 (numeración duplicada)</t>
        </is>
      </c>
      <c r="I2" s="45" t="inlineStr">
        <is>
          <t>Pasos</t>
        </is>
      </c>
      <c r="J2" s="45">
        <f>COUNT(A13:A28)</f>
        <v/>
      </c>
    </row>
    <row r="3" ht="15" customHeight="1" s="29">
      <c r="A3" s="45" t="inlineStr">
        <is>
          <t>Módulo</t>
        </is>
      </c>
      <c r="B3" s="46" t="inlineStr">
        <is>
          <t>Facturación</t>
        </is>
      </c>
      <c r="I3" s="45" t="inlineStr">
        <is>
          <t>Ejecutados (último)</t>
        </is>
      </c>
      <c r="J3" s="45">
        <f>COUNTIF(O13:O28,"?*")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la generación de facturas: folios, partidas, agrupación de rubros y txt a SAP.</t>
        </is>
      </c>
      <c r="I4" s="45" t="inlineStr">
        <is>
          <t>CUMPLE (último)</t>
        </is>
      </c>
      <c r="J4" s="45">
        <f>COUNTIF(O13:O28,"CUMPLE")</f>
        <v/>
      </c>
    </row>
    <row r="5" ht="15" customHeight="1" s="29">
      <c r="A5" s="45" t="inlineStr">
        <is>
          <t>Funcionalidades</t>
        </is>
      </c>
      <c r="B5" s="46" t="inlineStr">
        <is>
          <t>Nueva factura · campos · folio · edición de cantidad/precio · partidas · agrupación · txt SAP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ESC-22</t>
        </is>
      </c>
    </row>
    <row r="7" ht="15" customHeight="1" s="29">
      <c r="A7" s="45" t="inlineStr">
        <is>
          <t>Sesión sugerida</t>
        </is>
      </c>
      <c r="B7" s="46" t="inlineStr">
        <is>
          <t>S15</t>
        </is>
      </c>
    </row>
    <row r="8" ht="15" customHeight="1" s="29">
      <c r="A8" s="45" t="inlineStr">
        <is>
          <t>⚠ Calidad del caso</t>
        </is>
      </c>
      <c r="B8" s="48" t="inlineStr">
        <is>
          <t>La lista de campos del paso 6 está como imagen en el archivo original.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Tomar como base el resultado del Escenario 22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Agregar 4 detalles (para este escenario se puede poner cualquier valor para el detalle)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>Sobre el pedido, Agregar una Factura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En la pantalla de nueva Factura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35.05" customHeight="1" s="29">
      <c r="A17" s="34" t="n">
        <v>5</v>
      </c>
      <c r="B17" s="34" t="n"/>
      <c r="C17" s="34" t="inlineStr">
        <is>
          <t>Validar que en la pantalla se muestran los siguientes campos (Tanto los prerrellenos como los no editables)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23.85" customHeight="1" s="29">
      <c r="A18" s="34" t="n">
        <v>6</v>
      </c>
      <c r="B18" s="34" t="n"/>
      <c r="C18" s="34" t="inlineStr">
        <is>
          <t>Seleccionar el primer detalle de pedido para facturar y generar la factura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15" customHeight="1" s="29">
      <c r="A19" s="34" t="n">
        <v>7</v>
      </c>
      <c r="B19" s="34" t="n"/>
      <c r="C19" s="34" t="inlineStr">
        <is>
          <t>Validar que se genera un folio para la factura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23.85" customHeight="1" s="29">
      <c r="A20" s="34" t="n">
        <v>8</v>
      </c>
      <c r="B20" s="34" t="n"/>
      <c r="C20" s="34" t="inlineStr">
        <is>
          <t>Validad que se puedan modificar la cantidad y el precio que aparecerá en la factura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  <row r="21" ht="15" customHeight="1" s="29">
      <c r="A21" s="34" t="n">
        <v>9</v>
      </c>
      <c r="B21" s="34" t="n"/>
      <c r="C21" s="34" t="inlineStr">
        <is>
          <t>Validar que se puedan agregar nuevas partidas</t>
        </is>
      </c>
      <c r="D21" s="34" t="n"/>
      <c r="E21" s="34" t="n"/>
      <c r="F21" s="53" t="inlineStr">
        <is>
          <t>Sin ejecutar</t>
        </is>
      </c>
      <c r="G21" s="53" t="n"/>
      <c r="H21" s="53" t="n"/>
      <c r="I21" s="54" t="n"/>
      <c r="J21" s="54" t="n"/>
      <c r="K21" s="54" t="n"/>
      <c r="L21" s="54" t="n"/>
      <c r="M21" s="54" t="n"/>
      <c r="N21" s="54" t="n"/>
      <c r="O21" s="55">
        <f>IF(M21&lt;&gt;"",M21,IF(K21&lt;&gt;"",K21,IF(I21&lt;&gt;"",I21,"")))</f>
        <v/>
      </c>
      <c r="P21" s="55">
        <f>IF(O21="","",IF(O21="PENDIENTE","Pendiente",IF(O21="NO EJECUTABLE","No ejecutable",IF(O21="VERIFICAR","Por verificar",IF(AND(F21="No cumple",O21="CUMPLE"),"Mejora",IF(AND(F21="No cumple",O21="PARCIAL"),"Mejora parcial",IF(AND(OR(F21="Cumple",F21="Sin ejecutar"),OR(O21="NO CUMPLE",O21="PARCIAL")),IF(F21="Cumple","Regresión","Falla nueva"),IF(AND(F21="No cumple",O21="NO CUMPLE"),"Sigue fallando","Se mantiene"))))))))</f>
        <v/>
      </c>
    </row>
    <row r="22" ht="15" customHeight="1" s="29">
      <c r="A22" s="34" t="n">
        <v>10</v>
      </c>
      <c r="B22" s="34" t="n"/>
      <c r="C22" s="34" t="inlineStr">
        <is>
          <t>Volver a la pantalla de generación de factura</t>
        </is>
      </c>
      <c r="D22" s="34" t="n"/>
      <c r="E22" s="34" t="n"/>
      <c r="F22" s="53" t="inlineStr">
        <is>
          <t>Sin ejecutar</t>
        </is>
      </c>
      <c r="G22" s="53" t="n"/>
      <c r="H22" s="53" t="n"/>
      <c r="I22" s="54" t="n"/>
      <c r="J22" s="54" t="n"/>
      <c r="K22" s="54" t="n"/>
      <c r="L22" s="54" t="n"/>
      <c r="M22" s="54" t="n"/>
      <c r="N22" s="54" t="n"/>
      <c r="O22" s="55">
        <f>IF(M22&lt;&gt;"",M22,IF(K22&lt;&gt;"",K22,IF(I22&lt;&gt;"",I22,"")))</f>
        <v/>
      </c>
      <c r="P22" s="55">
        <f>IF(O22="","",IF(O22="PENDIENTE","Pendiente",IF(O22="NO EJECUTABLE","No ejecutable",IF(O22="VERIFICAR","Por verificar",IF(AND(F22="No cumple",O22="CUMPLE"),"Mejora",IF(AND(F22="No cumple",O22="PARCIAL"),"Mejora parcial",IF(AND(OR(F22="Cumple",F22="Sin ejecutar"),OR(O22="NO CUMPLE",O22="PARCIAL")),IF(F22="Cumple","Regresión","Falla nueva"),IF(AND(F22="No cumple",O22="NO CUMPLE"),"Sigue fallando","Se mantiene"))))))))</f>
        <v/>
      </c>
    </row>
    <row r="23" ht="23.85" customHeight="1" s="29">
      <c r="A23" s="34" t="n">
        <v>11</v>
      </c>
      <c r="B23" s="34" t="n"/>
      <c r="C23" s="34" t="inlineStr">
        <is>
          <t>Validar que no te permite seleccionar el detalle ya procesado</t>
        </is>
      </c>
      <c r="D23" s="34" t="n"/>
      <c r="E23" s="34" t="n"/>
      <c r="F23" s="53" t="inlineStr">
        <is>
          <t>Sin ejecutar</t>
        </is>
      </c>
      <c r="G23" s="53" t="n"/>
      <c r="H23" s="53" t="n"/>
      <c r="I23" s="54" t="n"/>
      <c r="J23" s="54" t="n"/>
      <c r="K23" s="54" t="n"/>
      <c r="L23" s="54" t="n"/>
      <c r="M23" s="54" t="n"/>
      <c r="N23" s="54" t="n"/>
      <c r="O23" s="55">
        <f>IF(M23&lt;&gt;"",M23,IF(K23&lt;&gt;"",K23,IF(I23&lt;&gt;"",I23,"")))</f>
        <v/>
      </c>
      <c r="P23" s="55">
        <f>IF(O23="","",IF(O23="PENDIENTE","Pendiente",IF(O23="NO EJECUTABLE","No ejecutable",IF(O23="VERIFICAR","Por verificar",IF(AND(F23="No cumple",O23="CUMPLE"),"Mejora",IF(AND(F23="No cumple",O23="PARCIAL"),"Mejora parcial",IF(AND(OR(F23="Cumple",F23="Sin ejecutar"),OR(O23="NO CUMPLE",O23="PARCIAL")),IF(F23="Cumple","Regresión","Falla nueva"),IF(AND(F23="No cumple",O23="NO CUMPLE"),"Sigue fallando","Se mantiene"))))))))</f>
        <v/>
      </c>
    </row>
    <row r="24" ht="15" customHeight="1" s="29">
      <c r="A24" s="34" t="n">
        <v>12</v>
      </c>
      <c r="B24" s="34" t="n"/>
      <c r="C24" s="34" t="inlineStr">
        <is>
          <t>Seleccionar los otros 4 detalles</t>
        </is>
      </c>
      <c r="D24" s="34" t="n"/>
      <c r="E24" s="34" t="n"/>
      <c r="F24" s="53" t="inlineStr">
        <is>
          <t>Sin ejecutar</t>
        </is>
      </c>
      <c r="G24" s="53" t="n"/>
      <c r="H24" s="53" t="n"/>
      <c r="I24" s="54" t="n"/>
      <c r="J24" s="54" t="n"/>
      <c r="K24" s="54" t="n"/>
      <c r="L24" s="54" t="n"/>
      <c r="M24" s="54" t="n"/>
      <c r="N24" s="54" t="n"/>
      <c r="O24" s="55">
        <f>IF(M24&lt;&gt;"",M24,IF(K24&lt;&gt;"",K24,IF(I24&lt;&gt;"",I24,"")))</f>
        <v/>
      </c>
      <c r="P24" s="55">
        <f>IF(O24="","",IF(O24="PENDIENTE","Pendiente",IF(O24="NO EJECUTABLE","No ejecutable",IF(O24="VERIFICAR","Por verificar",IF(AND(F24="No cumple",O24="CUMPLE"),"Mejora",IF(AND(F24="No cumple",O24="PARCIAL"),"Mejora parcial",IF(AND(OR(F24="Cumple",F24="Sin ejecutar"),OR(O24="NO CUMPLE",O24="PARCIAL")),IF(F24="Cumple","Regresión","Falla nueva"),IF(AND(F24="No cumple",O24="NO CUMPLE"),"Sigue fallando","Se mantiene"))))))))</f>
        <v/>
      </c>
    </row>
    <row r="25" ht="35.05" customHeight="1" s="29">
      <c r="A25" s="34" t="n">
        <v>13</v>
      </c>
      <c r="B25" s="34" t="n"/>
      <c r="C25" s="34" t="inlineStr">
        <is>
          <t>Validar que se ha generado un nuevo folio de factura con 4 rubros correspondientes a los 4 detalles seleccionados</t>
        </is>
      </c>
      <c r="D25" s="34" t="n"/>
      <c r="E25" s="34" t="n"/>
      <c r="F25" s="53" t="inlineStr">
        <is>
          <t>Sin ejecutar</t>
        </is>
      </c>
      <c r="G25" s="53" t="n"/>
      <c r="H25" s="53" t="n"/>
      <c r="I25" s="54" t="n"/>
      <c r="J25" s="54" t="n"/>
      <c r="K25" s="54" t="n"/>
      <c r="L25" s="54" t="n"/>
      <c r="M25" s="54" t="n"/>
      <c r="N25" s="54" t="n"/>
      <c r="O25" s="55">
        <f>IF(M25&lt;&gt;"",M25,IF(K25&lt;&gt;"",K25,IF(I25&lt;&gt;"",I25,"")))</f>
        <v/>
      </c>
      <c r="P25" s="55">
        <f>IF(O25="","",IF(O25="PENDIENTE","Pendiente",IF(O25="NO EJECUTABLE","No ejecutable",IF(O25="VERIFICAR","Por verificar",IF(AND(F25="No cumple",O25="CUMPLE"),"Mejora",IF(AND(F25="No cumple",O25="PARCIAL"),"Mejora parcial",IF(AND(OR(F25="Cumple",F25="Sin ejecutar"),OR(O25="NO CUMPLE",O25="PARCIAL")),IF(F25="Cumple","Regresión","Falla nueva"),IF(AND(F25="No cumple",O25="NO CUMPLE"),"Sigue fallando","Se mantiene"))))))))</f>
        <v/>
      </c>
    </row>
    <row r="26" ht="23.85" customHeight="1" s="29">
      <c r="A26" s="34" t="n">
        <v>14</v>
      </c>
      <c r="B26" s="34" t="n"/>
      <c r="C26" s="34" t="inlineStr">
        <is>
          <t>Validar que se puedan agrupar varios detalles en un rubro, y seleccionar un Producto</t>
        </is>
      </c>
      <c r="D26" s="34" t="n"/>
      <c r="E26" s="34" t="n"/>
      <c r="F26" s="53" t="inlineStr">
        <is>
          <t>Sin ejecutar</t>
        </is>
      </c>
      <c r="G26" s="53" t="n"/>
      <c r="H26" s="53" t="n"/>
      <c r="I26" s="54" t="n"/>
      <c r="J26" s="54" t="n"/>
      <c r="K26" s="54" t="n"/>
      <c r="L26" s="54" t="n"/>
      <c r="M26" s="54" t="n"/>
      <c r="N26" s="54" t="n"/>
      <c r="O26" s="55">
        <f>IF(M26&lt;&gt;"",M26,IF(K26&lt;&gt;"",K26,IF(I26&lt;&gt;"",I26,"")))</f>
        <v/>
      </c>
      <c r="P26" s="55">
        <f>IF(O26="","",IF(O26="PENDIENTE","Pendiente",IF(O26="NO EJECUTABLE","No ejecutable",IF(O26="VERIFICAR","Por verificar",IF(AND(F26="No cumple",O26="CUMPLE"),"Mejora",IF(AND(F26="No cumple",O26="PARCIAL"),"Mejora parcial",IF(AND(OR(F26="Cumple",F26="Sin ejecutar"),OR(O26="NO CUMPLE",O26="PARCIAL")),IF(F26="Cumple","Regresión","Falla nueva"),IF(AND(F26="No cumple",O26="NO CUMPLE"),"Sigue fallando","Se mantiene"))))))))</f>
        <v/>
      </c>
    </row>
    <row r="27" ht="23.85" customHeight="1" s="29">
      <c r="A27" s="34" t="n">
        <v>15</v>
      </c>
      <c r="B27" s="34" t="n"/>
      <c r="C27" s="34" t="inlineStr">
        <is>
          <t>Validar que se pueda mostrar el detalle de rubros que se agruparon</t>
        </is>
      </c>
      <c r="D27" s="34" t="n"/>
      <c r="E27" s="34" t="n"/>
      <c r="F27" s="53" t="inlineStr">
        <is>
          <t>Sin ejecutar</t>
        </is>
      </c>
      <c r="G27" s="53" t="n"/>
      <c r="H27" s="53" t="n"/>
      <c r="I27" s="54" t="n"/>
      <c r="J27" s="54" t="n"/>
      <c r="K27" s="54" t="n"/>
      <c r="L27" s="54" t="n"/>
      <c r="M27" s="54" t="n"/>
      <c r="N27" s="54" t="n"/>
      <c r="O27" s="55">
        <f>IF(M27&lt;&gt;"",M27,IF(K27&lt;&gt;"",K27,IF(I27&lt;&gt;"",I27,"")))</f>
        <v/>
      </c>
      <c r="P27" s="55">
        <f>IF(O27="","",IF(O27="PENDIENTE","Pendiente",IF(O27="NO EJECUTABLE","No ejecutable",IF(O27="VERIFICAR","Por verificar",IF(AND(F27="No cumple",O27="CUMPLE"),"Mejora",IF(AND(F27="No cumple",O27="PARCIAL"),"Mejora parcial",IF(AND(OR(F27="Cumple",F27="Sin ejecutar"),OR(O27="NO CUMPLE",O27="PARCIAL")),IF(F27="Cumple","Regresión","Falla nueva"),IF(AND(F27="No cumple",O27="NO CUMPLE"),"Sigue fallando","Se mantiene"))))))))</f>
        <v/>
      </c>
    </row>
    <row r="28" ht="23.85" customHeight="1" s="29">
      <c r="A28" s="34" t="n">
        <v>16</v>
      </c>
      <c r="B28" s="34" t="n"/>
      <c r="C28" s="34" t="inlineStr">
        <is>
          <t>Validar que el txt que se envía a SAP contiene la información requerida.</t>
        </is>
      </c>
      <c r="D28" s="34" t="n"/>
      <c r="E28" s="34" t="n"/>
      <c r="F28" s="53" t="inlineStr">
        <is>
          <t>Sin ejecutar</t>
        </is>
      </c>
      <c r="G28" s="53" t="n"/>
      <c r="H28" s="53" t="n"/>
      <c r="I28" s="54" t="n"/>
      <c r="J28" s="54" t="n"/>
      <c r="K28" s="54" t="n"/>
      <c r="L28" s="54" t="n"/>
      <c r="M28" s="54" t="n"/>
      <c r="N28" s="54" t="n"/>
      <c r="O28" s="55">
        <f>IF(M28&lt;&gt;"",M28,IF(K28&lt;&gt;"",K28,IF(I28&lt;&gt;"",I28,"")))</f>
        <v/>
      </c>
      <c r="P28" s="55">
        <f>IF(O28="","",IF(O28="PENDIENTE","Pendiente",IF(O28="NO EJECUTABLE","No ejecutable",IF(O28="VERIFICAR","Por verificar",IF(AND(F28="No cumple",O28="CUMPLE"),"Mejora",IF(AND(F28="No cumple",O28="PARCIAL"),"Mejora parcial",IF(AND(OR(F28="Cumple",F28="Sin ejecutar"),OR(O28="NO CUMPLE",O28="PARCIAL")),IF(F28="Cumple","Regresión","Falla nueva"),IF(AND(F28="No cumple",O28="NO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8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8 K13:K28 M13:M28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ESC-28 — Validar que en el txt sólo se generan facturas (Y no servicios internos)</t>
        </is>
      </c>
    </row>
    <row r="2" ht="15" customHeight="1" s="29">
      <c r="A2" s="45" t="inlineStr">
        <is>
          <t>Núm. original</t>
        </is>
      </c>
      <c r="B2" s="46" t="inlineStr">
        <is>
          <t>Escenario 28 (numeración duplicada)</t>
        </is>
      </c>
      <c r="I2" s="45" t="inlineStr">
        <is>
          <t>Pasos</t>
        </is>
      </c>
      <c r="J2" s="45">
        <f>COUNT(A13:A17)</f>
        <v/>
      </c>
    </row>
    <row r="3" ht="15" customHeight="1" s="29">
      <c r="A3" s="45" t="inlineStr">
        <is>
          <t>Módulo</t>
        </is>
      </c>
      <c r="B3" s="46" t="inlineStr">
        <is>
          <t>Facturación</t>
        </is>
      </c>
      <c r="I3" s="45" t="inlineStr">
        <is>
          <t>Ejecutados (último)</t>
        </is>
      </c>
      <c r="J3" s="45">
        <f>COUNTIF(O13:O17,"?*")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que los servicios internos no generan txt ni consumen folio consecutivo.</t>
        </is>
      </c>
      <c r="I4" s="45" t="inlineStr">
        <is>
          <t>CUMPLE (último)</t>
        </is>
      </c>
      <c r="J4" s="45">
        <f>COUNTIF(O13:O17,"CUMPLE")</f>
        <v/>
      </c>
    </row>
    <row r="5" ht="15" customHeight="1" s="29">
      <c r="A5" s="45" t="inlineStr">
        <is>
          <t>Funcionalidades</t>
        </is>
      </c>
      <c r="B5" s="46" t="inlineStr">
        <is>
          <t>Tipo de movimiento Servicio Interno · folio · txt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ESC-26</t>
        </is>
      </c>
    </row>
    <row r="7" ht="15" customHeight="1" s="29">
      <c r="A7" s="45" t="inlineStr">
        <is>
          <t>Sesión sugerida</t>
        </is>
      </c>
      <c r="B7" s="46" t="inlineStr">
        <is>
          <t>S15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A13" s="34" t="n">
        <v>1</v>
      </c>
      <c r="B13" s="34" t="n"/>
      <c r="C13" s="34" t="inlineStr">
        <is>
          <t>Facturar el pedido del escenario 26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Seleccionar como Tipo de Movimiento "Servicios Internos"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23.85" customHeight="1" s="29">
      <c r="A15" s="34" t="n">
        <v>3</v>
      </c>
      <c r="B15" s="34" t="n"/>
      <c r="C15" s="34" t="inlineStr">
        <is>
          <t>Generar un fólio para la factura (Validar que no es consecutivo de las facturas)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15" customHeight="1" s="29">
      <c r="A16" s="34" t="n">
        <v>4</v>
      </c>
      <c r="B16" s="34" t="n"/>
      <c r="C16" s="34" t="inlineStr">
        <is>
          <t>Generar el txt para este folio de factura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15" customHeight="1" s="29">
      <c r="A17" s="34" t="n">
        <v>5</v>
      </c>
      <c r="B17" s="34" t="n"/>
      <c r="C17" s="34" t="inlineStr">
        <is>
          <t>Validar que no se generó ningún txt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17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17 K13:K17 M13:M17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P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ESC-29 — Prorrateo de sueldos matriciales</t>
        </is>
      </c>
    </row>
    <row r="2" ht="15" customHeight="1" s="29">
      <c r="A2" s="45" t="inlineStr">
        <is>
          <t>Núm. original</t>
        </is>
      </c>
      <c r="B2" s="46" t="inlineStr">
        <is>
          <t>Escenario 29</t>
        </is>
      </c>
      <c r="I2" s="45" t="inlineStr">
        <is>
          <t>Pasos</t>
        </is>
      </c>
      <c r="J2" s="45">
        <f>COUNT(A13:A20)</f>
        <v/>
      </c>
    </row>
    <row r="3" ht="15" customHeight="1" s="29">
      <c r="A3" s="45" t="inlineStr">
        <is>
          <t>Módulo</t>
        </is>
      </c>
      <c r="B3" s="46" t="inlineStr">
        <is>
          <t>Nómina</t>
        </is>
      </c>
      <c r="I3" s="45" t="inlineStr">
        <is>
          <t>Ejecutados (último)</t>
        </is>
      </c>
      <c r="J3" s="45">
        <f>COUNTIF(O13:O20,"?*")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Validar el prorrateo de sueldo matricial entre varios detalles (100-50-50 repartido).</t>
        </is>
      </c>
      <c r="I4" s="45" t="inlineStr">
        <is>
          <t>CUMPLE (último)</t>
        </is>
      </c>
      <c r="J4" s="45">
        <f>COUNTIF(O13:O20,"CUMPLE")</f>
        <v/>
      </c>
    </row>
    <row r="5" ht="15" customHeight="1" s="29">
      <c r="A5" s="45" t="inlineStr">
        <is>
          <t>Funcionalidades</t>
        </is>
      </c>
      <c r="B5" s="46" t="inlineStr">
        <is>
          <t>Complejidad · días de show · prorrateo entre detalles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S12</t>
        </is>
      </c>
    </row>
    <row r="8" ht="15" customHeight="1" s="29">
      <c r="A8" s="45" t="inlineStr">
        <is>
          <t>⚠ Calidad del caso</t>
        </is>
      </c>
      <c r="B8" s="46" t="inlineStr">
        <is>
          <t>—</t>
        </is>
      </c>
    </row>
    <row r="9" ht="15" customHeight="1" s="29">
      <c r="A9" s="45" t="inlineStr">
        <is>
          <t>Notas originales</t>
        </is>
      </c>
      <c r="B9" s="46" t="inlineStr">
        <is>
          <t>—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35.05" customHeight="1" s="29">
      <c r="A13" s="34" t="n">
        <v>1</v>
      </c>
      <c r="B13" s="34" t="n"/>
      <c r="C13" s="34" t="inlineStr">
        <is>
          <t>Generar un pedido de producción con complejidad "Autorio Nacional" y con 3 días de Show</t>
        </is>
      </c>
      <c r="D13" s="34" t="n"/>
      <c r="E13" s="34" t="n"/>
      <c r="F13" s="53" t="inlineStr">
        <is>
          <t>Sin ejecutar</t>
        </is>
      </c>
      <c r="G13" s="53" t="n"/>
      <c r="H13" s="53" t="n"/>
      <c r="I13" s="54" t="n"/>
      <c r="J13" s="54" t="n"/>
      <c r="K13" s="54" t="n"/>
      <c r="L13" s="54" t="n"/>
      <c r="M13" s="54" t="n"/>
      <c r="N13" s="54" t="n"/>
      <c r="O13" s="55">
        <f>IF(M13&lt;&gt;"",M13,IF(K13&lt;&gt;"",K13,IF(I13&lt;&gt;"",I13,"")))</f>
        <v/>
      </c>
      <c r="P13" s="55">
        <f>IF(O13="","",IF(O13="PENDIENTE","Pendiente",IF(O13="NO EJECUTABLE","No ejecutable",IF(O13="VERIFICAR","Por verificar",IF(AND(F13="No cumple",O13="CUMPLE"),"Mejora",IF(AND(F13="No cumple",O13="PARCIAL"),"Mejora parcial",IF(AND(OR(F13="Cumple",F13="Sin ejecutar"),OR(O13="NO CUMPLE",O13="PARCIAL")),IF(F13="Cumple","Regresión","Falla nueva"),IF(AND(F13="No cumple",O13="NO CUMPLE"),"Sigue fallando","Se mantiene"))))))))</f>
        <v/>
      </c>
    </row>
    <row r="14" ht="23.85" customHeight="1" s="29">
      <c r="A14" s="34" t="n">
        <v>2</v>
      </c>
      <c r="B14" s="34" t="n"/>
      <c r="C14" s="34" t="inlineStr">
        <is>
          <t>Dar de alta 1 detalle con 1 puesto de "Productor A"</t>
        </is>
      </c>
      <c r="D14" s="34" t="n"/>
      <c r="E14" s="34" t="n"/>
      <c r="F14" s="53" t="inlineStr">
        <is>
          <t>Sin ejecutar</t>
        </is>
      </c>
      <c r="G14" s="53" t="n"/>
      <c r="H14" s="53" t="n"/>
      <c r="I14" s="54" t="n"/>
      <c r="J14" s="54" t="n"/>
      <c r="K14" s="54" t="n"/>
      <c r="L14" s="54" t="n"/>
      <c r="M14" s="54" t="n"/>
      <c r="N14" s="54" t="n"/>
      <c r="O14" s="55">
        <f>IF(M14&lt;&gt;"",M14,IF(K14&lt;&gt;"",K14,IF(I14&lt;&gt;"",I14,"")))</f>
        <v/>
      </c>
      <c r="P14" s="55">
        <f>IF(O14="","",IF(O14="PENDIENTE","Pendiente",IF(O14="NO EJECUTABLE","No ejecutable",IF(O14="VERIFICAR","Por verificar",IF(AND(F14="No cumple",O14="CUMPLE"),"Mejora",IF(AND(F14="No cumple",O14="PARCIAL"),"Mejora parcial",IF(AND(OR(F14="Cumple",F14="Sin ejecutar"),OR(O14="NO CUMPLE",O14="PARCIAL")),IF(F14="Cumple","Regresión","Falla nueva"),IF(AND(F14="No cumple",O14="NO CUMPLE"),"Sigue fallando","Se mantiene"))))))))</f>
        <v/>
      </c>
    </row>
    <row r="15" ht="15" customHeight="1" s="29">
      <c r="A15" s="34" t="n">
        <v>3</v>
      </c>
      <c r="B15" s="34" t="n"/>
      <c r="C15" s="34" t="inlineStr">
        <is>
          <t>Agregar detalle</t>
        </is>
      </c>
      <c r="D15" s="34" t="n"/>
      <c r="E15" s="34" t="n"/>
      <c r="F15" s="53" t="inlineStr">
        <is>
          <t>Sin ejecutar</t>
        </is>
      </c>
      <c r="G15" s="53" t="n"/>
      <c r="H15" s="53" t="n"/>
      <c r="I15" s="54" t="n"/>
      <c r="J15" s="54" t="n"/>
      <c r="K15" s="54" t="n"/>
      <c r="L15" s="54" t="n"/>
      <c r="M15" s="54" t="n"/>
      <c r="N15" s="54" t="n"/>
      <c r="O15" s="55">
        <f>IF(M15&lt;&gt;"",M15,IF(K15&lt;&gt;"",K15,IF(I15&lt;&gt;"",I15,"")))</f>
        <v/>
      </c>
      <c r="P15" s="55">
        <f>IF(O15="","",IF(O15="PENDIENTE","Pendiente",IF(O15="NO EJECUTABLE","No ejecutable",IF(O15="VERIFICAR","Por verificar",IF(AND(F15="No cumple",O15="CUMPLE"),"Mejora",IF(AND(F15="No cumple",O15="PARCIAL"),"Mejora parcial",IF(AND(OR(F15="Cumple",F15="Sin ejecutar"),OR(O15="NO CUMPLE",O15="PARCIAL")),IF(F15="Cumple","Regresión","Falla nueva"),IF(AND(F15="No cumple",O15="NO CUMPLE"),"Sigue fallando","Se mantiene"))))))))</f>
        <v/>
      </c>
    </row>
    <row r="16" ht="35.05" customHeight="1" s="29">
      <c r="A16" s="34" t="n">
        <v>4</v>
      </c>
      <c r="B16" s="34" t="n"/>
      <c r="C16" s="34" t="inlineStr">
        <is>
          <t>Validar que en la cuadrícula se muestra el importe total correspondiente a los 3 días Show (100%-50%-50%)</t>
        </is>
      </c>
      <c r="D16" s="34" t="n"/>
      <c r="E16" s="34" t="n"/>
      <c r="F16" s="53" t="inlineStr">
        <is>
          <t>Sin ejecutar</t>
        </is>
      </c>
      <c r="G16" s="53" t="n"/>
      <c r="H16" s="53" t="n"/>
      <c r="I16" s="54" t="n"/>
      <c r="J16" s="54" t="n"/>
      <c r="K16" s="54" t="n"/>
      <c r="L16" s="54" t="n"/>
      <c r="M16" s="54" t="n"/>
      <c r="N16" s="54" t="n"/>
      <c r="O16" s="55">
        <f>IF(M16&lt;&gt;"",M16,IF(K16&lt;&gt;"",K16,IF(I16&lt;&gt;"",I16,"")))</f>
        <v/>
      </c>
      <c r="P16" s="55">
        <f>IF(O16="","",IF(O16="PENDIENTE","Pendiente",IF(O16="NO EJECUTABLE","No ejecutable",IF(O16="VERIFICAR","Por verificar",IF(AND(F16="No cumple",O16="CUMPLE"),"Mejora",IF(AND(F16="No cumple",O16="PARCIAL"),"Mejora parcial",IF(AND(OR(F16="Cumple",F16="Sin ejecutar"),OR(O16="NO CUMPLE",O16="PARCIAL")),IF(F16="Cumple","Regresión","Falla nueva"),IF(AND(F16="No cumple",O16="NO CUMPLE"),"Sigue fallando","Se mantiene"))))))))</f>
        <v/>
      </c>
    </row>
    <row r="17" ht="23.85" customHeight="1" s="29">
      <c r="A17" s="34" t="n">
        <v>5</v>
      </c>
      <c r="B17" s="34" t="n"/>
      <c r="C17" s="34" t="inlineStr">
        <is>
          <t>Agregar un nuevo detalle con fecha cita al día siguiente</t>
        </is>
      </c>
      <c r="D17" s="34" t="n"/>
      <c r="E17" s="34" t="n"/>
      <c r="F17" s="53" t="inlineStr">
        <is>
          <t>Sin ejecutar</t>
        </is>
      </c>
      <c r="G17" s="53" t="n"/>
      <c r="H17" s="53" t="n"/>
      <c r="I17" s="54" t="n"/>
      <c r="J17" s="54" t="n"/>
      <c r="K17" s="54" t="n"/>
      <c r="L17" s="54" t="n"/>
      <c r="M17" s="54" t="n"/>
      <c r="N17" s="54" t="n"/>
      <c r="O17" s="55">
        <f>IF(M17&lt;&gt;"",M17,IF(K17&lt;&gt;"",K17,IF(I17&lt;&gt;"",I17,"")))</f>
        <v/>
      </c>
      <c r="P17" s="55">
        <f>IF(O17="","",IF(O17="PENDIENTE","Pendiente",IF(O17="NO EJECUTABLE","No ejecutable",IF(O17="VERIFICAR","Por verificar",IF(AND(F17="No cumple",O17="CUMPLE"),"Mejora",IF(AND(F17="No cumple",O17="PARCIAL"),"Mejora parcial",IF(AND(OR(F17="Cumple",F17="Sin ejecutar"),OR(O17="NO CUMPLE",O17="PARCIAL")),IF(F17="Cumple","Regresión","Falla nueva"),IF(AND(F17="No cumple",O17="NO CUMPLE"),"Sigue fallando","Se mantiene"))))))))</f>
        <v/>
      </c>
    </row>
    <row r="18" ht="46.25" customHeight="1" s="29">
      <c r="A18" s="34" t="n">
        <v>6</v>
      </c>
      <c r="B18" s="34" t="n"/>
      <c r="C18" s="34" t="inlineStr">
        <is>
          <t>Validar que en la cuadrícula se muestra el importe total correspondiente a los 3 días Show (100%-50%-50%), pero repartidos en los dos detalles (50%-50%)</t>
        </is>
      </c>
      <c r="D18" s="34" t="n"/>
      <c r="E18" s="34" t="n"/>
      <c r="F18" s="53" t="inlineStr">
        <is>
          <t>Sin ejecutar</t>
        </is>
      </c>
      <c r="G18" s="53" t="n"/>
      <c r="H18" s="53" t="n"/>
      <c r="I18" s="54" t="n"/>
      <c r="J18" s="54" t="n"/>
      <c r="K18" s="54" t="n"/>
      <c r="L18" s="54" t="n"/>
      <c r="M18" s="54" t="n"/>
      <c r="N18" s="54" t="n"/>
      <c r="O18" s="55">
        <f>IF(M18&lt;&gt;"",M18,IF(K18&lt;&gt;"",K18,IF(I18&lt;&gt;"",I18,"")))</f>
        <v/>
      </c>
      <c r="P18" s="55">
        <f>IF(O18="","",IF(O18="PENDIENTE","Pendiente",IF(O18="NO EJECUTABLE","No ejecutable",IF(O18="VERIFICAR","Por verificar",IF(AND(F18="No cumple",O18="CUMPLE"),"Mejora",IF(AND(F18="No cumple",O18="PARCIAL"),"Mejora parcial",IF(AND(OR(F18="Cumple",F18="Sin ejecutar"),OR(O18="NO CUMPLE",O18="PARCIAL")),IF(F18="Cumple","Regresión","Falla nueva"),IF(AND(F18="No cumple",O18="NO CUMPLE"),"Sigue fallando","Se mantiene"))))))))</f>
        <v/>
      </c>
    </row>
    <row r="19" ht="23.85" customHeight="1" s="29">
      <c r="A19" s="34" t="n">
        <v>7</v>
      </c>
      <c r="B19" s="34" t="n"/>
      <c r="C19" s="34" t="inlineStr">
        <is>
          <t>Agragar dos nuevos detalle con fecha cita consecutiva</t>
        </is>
      </c>
      <c r="D19" s="34" t="n"/>
      <c r="E19" s="34" t="n"/>
      <c r="F19" s="53" t="inlineStr">
        <is>
          <t>Sin ejecutar</t>
        </is>
      </c>
      <c r="G19" s="53" t="n"/>
      <c r="H19" s="53" t="n"/>
      <c r="I19" s="54" t="n"/>
      <c r="J19" s="54" t="n"/>
      <c r="K19" s="54" t="n"/>
      <c r="L19" s="54" t="n"/>
      <c r="M19" s="54" t="n"/>
      <c r="N19" s="54" t="n"/>
      <c r="O19" s="55">
        <f>IF(M19&lt;&gt;"",M19,IF(K19&lt;&gt;"",K19,IF(I19&lt;&gt;"",I19,"")))</f>
        <v/>
      </c>
      <c r="P19" s="55">
        <f>IF(O19="","",IF(O19="PENDIENTE","Pendiente",IF(O19="NO EJECUTABLE","No ejecutable",IF(O19="VERIFICAR","Por verificar",IF(AND(F19="No cumple",O19="CUMPLE"),"Mejora",IF(AND(F19="No cumple",O19="PARCIAL"),"Mejora parcial",IF(AND(OR(F19="Cumple",F19="Sin ejecutar"),OR(O19="NO CUMPLE",O19="PARCIAL")),IF(F19="Cumple","Regresión","Falla nueva"),IF(AND(F19="No cumple",O19="NO CUMPLE"),"Sigue fallando","Se mantiene"))))))))</f>
        <v/>
      </c>
    </row>
    <row r="20" ht="46.25" customHeight="1" s="29">
      <c r="A20" s="34" t="n">
        <v>8</v>
      </c>
      <c r="B20" s="34" t="n"/>
      <c r="C20" s="34" t="inlineStr">
        <is>
          <t>Validar que en la cuadrícula se muestra el importe total correspondiente a los 3 días Show (100%-50%-50%), pero repartidos en los cuatro detalles (25%-25%-25%-25%)</t>
        </is>
      </c>
      <c r="D20" s="34" t="n"/>
      <c r="E20" s="34" t="n"/>
      <c r="F20" s="53" t="inlineStr">
        <is>
          <t>Sin ejecutar</t>
        </is>
      </c>
      <c r="G20" s="53" t="n"/>
      <c r="H20" s="53" t="n"/>
      <c r="I20" s="54" t="n"/>
      <c r="J20" s="54" t="n"/>
      <c r="K20" s="54" t="n"/>
      <c r="L20" s="54" t="n"/>
      <c r="M20" s="54" t="n"/>
      <c r="N20" s="54" t="n"/>
      <c r="O20" s="55">
        <f>IF(M20&lt;&gt;"",M20,IF(K20&lt;&gt;"",K20,IF(I20&lt;&gt;"",I20,"")))</f>
        <v/>
      </c>
      <c r="P20" s="55">
        <f>IF(O20="","",IF(O20="PENDIENTE","Pendiente",IF(O20="NO EJECUTABLE","No ejecutable",IF(O20="VERIFICAR","Por verificar",IF(AND(F20="No cumple",O20="CUMPLE"),"Mejora",IF(AND(F20="No cumple",O20="PARCIAL"),"Mejora parcial",IF(AND(OR(F20="Cumple",F20="Sin ejecutar"),OR(O20="NO CUMPLE",O20="PARCIAL")),IF(F20="Cumple","Regresión","Falla nueva"),IF(AND(F20="No cumple",O20="NO CUMPLE"),"Sigue fallando","Se mantiene"))))))))</f>
        <v/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:P20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:I20 K13:K20 M13:M20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P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ESC-30 — Validación de Visibilidad por sucursal/puesto</t>
        </is>
      </c>
    </row>
    <row r="2" ht="15" customHeight="1" s="29">
      <c r="A2" s="45" t="inlineStr">
        <is>
          <t>Núm. original</t>
        </is>
      </c>
      <c r="B2" s="46" t="inlineStr">
        <is>
          <t>— (nota al pie)</t>
        </is>
      </c>
      <c r="I2" s="45" t="inlineStr">
        <is>
          <t>Pasos</t>
        </is>
      </c>
      <c r="J2" s="45">
        <f>COUNT(A13:A13)</f>
        <v/>
      </c>
    </row>
    <row r="3" ht="15" customHeight="1" s="29">
      <c r="A3" s="45" t="inlineStr">
        <is>
          <t>Módulo</t>
        </is>
      </c>
      <c r="B3" s="46" t="inlineStr">
        <is>
          <t>Reservaciones</t>
        </is>
      </c>
      <c r="I3" s="45" t="inlineStr">
        <is>
          <t>Ejecutados (último)</t>
        </is>
      </c>
      <c r="J3" s="45">
        <f>COUNTIF(O13:O13,"?*")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Validación de visibilidad por sucursal/puesto.</t>
        </is>
      </c>
      <c r="I4" s="45" t="inlineStr">
        <is>
          <t>CUMPLE (último)</t>
        </is>
      </c>
      <c r="J4" s="45">
        <f>COUNTIF(O13:O13,"CUMPLE")</f>
        <v/>
      </c>
    </row>
    <row r="5" ht="15" customHeight="1" s="29">
      <c r="A5" s="45" t="inlineStr">
        <is>
          <t>Funcionalidades</t>
        </is>
      </c>
      <c r="B5" s="46" t="inlineStr">
        <is>
          <t>Por definir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S11</t>
        </is>
      </c>
    </row>
    <row r="8" ht="15" customHeight="1" s="29">
      <c r="A8" s="45" t="inlineStr">
        <is>
          <t>⚠ Calidad del caso</t>
        </is>
      </c>
      <c r="B8" s="48" t="inlineStr">
        <is>
          <t>Sin pasos en el archivo original.</t>
        </is>
      </c>
    </row>
    <row r="9" ht="15" customHeight="1" s="29">
      <c r="A9" s="45" t="inlineStr">
        <is>
          <t>Notas originales</t>
        </is>
      </c>
      <c r="B9" s="46" t="inlineStr">
        <is>
          <t>Sin pasos definidos en el archivo original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C13" s="31" t="inlineStr">
        <is>
          <t>Sin pasos definidos. qa-arquitecto debe proponerlos y negocio aprobarlos antes de ejecutar.</t>
        </is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 K13 M13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P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7" customWidth="1" style="28" min="2" max="2"/>
    <col width="40" customWidth="1" style="28" min="3" max="4"/>
    <col width="22" customWidth="1" style="28" min="5" max="5"/>
    <col width="12" customWidth="1" style="28" min="6" max="6"/>
    <col width="32" customWidth="1" style="28" min="7" max="7"/>
    <col width="14" customWidth="1" style="28" min="8" max="8"/>
    <col width="13" customWidth="1" style="28" min="9" max="9"/>
    <col width="28" customWidth="1" style="28" min="10" max="10"/>
    <col width="13" customWidth="1" style="28" min="11" max="11"/>
    <col width="28" customWidth="1" style="28" min="12" max="12"/>
    <col width="13" customWidth="1" style="28" min="13" max="13"/>
    <col width="28" customWidth="1" style="28" min="14" max="14"/>
    <col width="13" customWidth="1" style="28" min="15" max="15"/>
    <col width="14" customWidth="1" style="28" min="16" max="16"/>
  </cols>
  <sheetData>
    <row r="1" ht="16.15" customHeight="1" s="29">
      <c r="A1" s="44" t="inlineStr">
        <is>
          <t>ESC-31 — Justificación de Faltas (Validar que el porcentaje de asistencia se modifica)</t>
        </is>
      </c>
    </row>
    <row r="2" ht="15" customHeight="1" s="29">
      <c r="A2" s="45" t="inlineStr">
        <is>
          <t>Núm. original</t>
        </is>
      </c>
      <c r="B2" s="46" t="inlineStr">
        <is>
          <t>— (nota al pie)</t>
        </is>
      </c>
      <c r="I2" s="45" t="inlineStr">
        <is>
          <t>Pasos</t>
        </is>
      </c>
      <c r="J2" s="45">
        <f>COUNT(A13:A13)</f>
        <v/>
      </c>
    </row>
    <row r="3" ht="15" customHeight="1" s="29">
      <c r="A3" s="45" t="inlineStr">
        <is>
          <t>Módulo</t>
        </is>
      </c>
      <c r="B3" s="46" t="inlineStr">
        <is>
          <t>Nómina</t>
        </is>
      </c>
      <c r="I3" s="45" t="inlineStr">
        <is>
          <t>Ejecutados (último)</t>
        </is>
      </c>
      <c r="J3" s="45">
        <f>COUNTIF(O13:O13,"?*")</f>
        <v/>
      </c>
    </row>
    <row r="4" ht="15" customHeight="1" s="29">
      <c r="A4" s="45" t="inlineStr">
        <is>
          <t>Objetivo (propuesto, validar)</t>
        </is>
      </c>
      <c r="B4" s="46" t="inlineStr">
        <is>
          <t>Justificación de faltas (validar que el porcentaje de asistencia se modifica).</t>
        </is>
      </c>
      <c r="I4" s="45" t="inlineStr">
        <is>
          <t>CUMPLE (último)</t>
        </is>
      </c>
      <c r="J4" s="45">
        <f>COUNTIF(O13:O13,"CUMPLE")</f>
        <v/>
      </c>
    </row>
    <row r="5" ht="15" customHeight="1" s="29">
      <c r="A5" s="45" t="inlineStr">
        <is>
          <t>Funcionalidades</t>
        </is>
      </c>
      <c r="B5" s="46" t="inlineStr">
        <is>
          <t>Por definir</t>
        </is>
      </c>
      <c r="I5" s="45" t="inlineStr">
        <is>
          <t>% cumplimiento</t>
        </is>
      </c>
      <c r="J5" s="47">
        <f>IF(J2=0,0,J4/J2)</f>
        <v/>
      </c>
    </row>
    <row r="6" ht="15" customHeight="1" s="29">
      <c r="A6" s="45" t="inlineStr">
        <is>
          <t>Dependencias / datos</t>
        </is>
      </c>
      <c r="B6" s="46" t="inlineStr">
        <is>
          <t>—</t>
        </is>
      </c>
    </row>
    <row r="7" ht="15" customHeight="1" s="29">
      <c r="A7" s="45" t="inlineStr">
        <is>
          <t>Sesión sugerida</t>
        </is>
      </c>
      <c r="B7" s="46" t="inlineStr">
        <is>
          <t>S13</t>
        </is>
      </c>
    </row>
    <row r="8" ht="15" customHeight="1" s="29">
      <c r="A8" s="45" t="inlineStr">
        <is>
          <t>⚠ Calidad del caso</t>
        </is>
      </c>
      <c r="B8" s="48" t="inlineStr">
        <is>
          <t>Sin pasos en el archivo original.</t>
        </is>
      </c>
    </row>
    <row r="9" ht="15" customHeight="1" s="29">
      <c r="A9" s="45" t="inlineStr">
        <is>
          <t>Notas originales</t>
        </is>
      </c>
      <c r="B9" s="46" t="inlineStr">
        <is>
          <t>Sin pasos definidos en el archivo original</t>
        </is>
      </c>
    </row>
    <row r="11" ht="15" customHeight="1" s="29">
      <c r="F11" s="49" t="inlineStr">
        <is>
          <t>CORRIDA LEGADO (HUMANOS)</t>
        </is>
      </c>
      <c r="G11" s="50" t="n"/>
      <c r="H11" s="51" t="n"/>
      <c r="I11" s="52" t="inlineStr">
        <is>
          <t>CICLO CLAUDE CODE: probar → corregir → re-probar</t>
        </is>
      </c>
      <c r="J11" s="50" t="n"/>
      <c r="K11" s="50" t="n"/>
      <c r="L11" s="50" t="n"/>
      <c r="M11" s="50" t="n"/>
      <c r="N11" s="50" t="n"/>
      <c r="O11" s="50" t="n"/>
      <c r="P11" s="51" t="n"/>
    </row>
    <row r="12" ht="23.85" customHeight="1" s="29">
      <c r="A12" s="32" t="inlineStr">
        <is>
          <t>#</t>
        </is>
      </c>
      <c r="B12" s="32" t="inlineStr">
        <is>
          <t>Paso orig.</t>
        </is>
      </c>
      <c r="C12" s="32" t="inlineStr">
        <is>
          <t>Descripción</t>
        </is>
      </c>
      <c r="D12" s="32" t="inlineStr">
        <is>
          <t>Resultado esperado</t>
        </is>
      </c>
      <c r="E12" s="32" t="inlineStr">
        <is>
          <t>⚠ Calidad</t>
        </is>
      </c>
      <c r="F12" s="32" t="inlineStr">
        <is>
          <t>Legado: Resultado</t>
        </is>
      </c>
      <c r="G12" s="32" t="inlineStr">
        <is>
          <t>Legado: Observación</t>
        </is>
      </c>
      <c r="H12" s="32" t="inlineStr">
        <is>
          <t>Legado: Corrección</t>
        </is>
      </c>
      <c r="I12" s="32" t="inlineStr">
        <is>
          <t>R1 Resultado</t>
        </is>
      </c>
      <c r="J12" s="32" t="inlineStr">
        <is>
          <t>R1 Hallazgo / Obs.</t>
        </is>
      </c>
      <c r="K12" s="32" t="inlineStr">
        <is>
          <t>R2 Resultado</t>
        </is>
      </c>
      <c r="L12" s="32" t="inlineStr">
        <is>
          <t>R2 Hallazgo / Obs.</t>
        </is>
      </c>
      <c r="M12" s="32" t="inlineStr">
        <is>
          <t>R3 Resultado</t>
        </is>
      </c>
      <c r="N12" s="32" t="inlineStr">
        <is>
          <t>R3 Hallazgo / Obs.</t>
        </is>
      </c>
      <c r="O12" s="32" t="inlineStr">
        <is>
          <t>Último resultado</t>
        </is>
      </c>
      <c r="P12" s="32" t="inlineStr">
        <is>
          <t>Comparativo</t>
        </is>
      </c>
    </row>
    <row r="13" ht="15" customHeight="1" s="29">
      <c r="C13" s="31" t="inlineStr">
        <is>
          <t>Sin pasos definidos. qa-arquitecto debe proponerlos y negocio aprobarlos antes de ejecutar.</t>
        </is>
      </c>
    </row>
  </sheetData>
  <mergeCells count="10">
    <mergeCell ref="B3:G3"/>
    <mergeCell ref="B2:G2"/>
    <mergeCell ref="B5:G5"/>
    <mergeCell ref="B9:G9"/>
    <mergeCell ref="B8:G8"/>
    <mergeCell ref="I11:P11"/>
    <mergeCell ref="B4:G4"/>
    <mergeCell ref="F11:H11"/>
    <mergeCell ref="B7:G7"/>
    <mergeCell ref="B6:G6"/>
  </mergeCells>
  <conditionalFormatting sqref="P13">
    <cfRule type="expression" rank="0" priority="2" equalAverage="0" aboveAverage="0" dxfId="2" text="" percent="0" bottom="0">
      <formula>P13="Regresión"</formula>
    </cfRule>
    <cfRule type="expression" rank="0" priority="3" equalAverage="0" aboveAverage="0" dxfId="2" text="" percent="0" bottom="0">
      <formula>P13="Falla nueva"</formula>
    </cfRule>
    <cfRule type="expression" rank="0" priority="4" equalAverage="0" aboveAverage="0" dxfId="3" text="" percent="0" bottom="0">
      <formula>P13="Sigue fallando"</formula>
    </cfRule>
    <cfRule type="expression" rank="0" priority="5" equalAverage="0" aboveAverage="0" dxfId="0" text="" percent="0" bottom="0">
      <formula>P13="Mejora"</formula>
    </cfRule>
    <cfRule type="expression" rank="0" priority="6" equalAverage="0" aboveAverage="0" dxfId="4" text="" percent="0" bottom="0">
      <formula>P13="Mejora parcial"</formula>
    </cfRule>
    <cfRule type="expression" rank="0" priority="7" equalAverage="0" aboveAverage="0" dxfId="1" text="" percent="0" bottom="0">
      <formula>P13="Por verificar"</formula>
    </cfRule>
  </conditionalFormatting>
  <dataValidations count="1">
    <dataValidation sqref="I13 K13 M13" showDropDown="0" showInputMessage="0" showErrorMessage="0" allowBlank="1" type="list" errorStyle="stop" operator="between">
      <formula1>"CUMPLE,NO CUMPLE,PARCIAL,NO EJECUTABLE,VERIFICAR,PENDIENTE"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2026-10-10T16:53:45Z</dcterms:created>
  <dcterms:modified xmlns:dcterms="http://purl.org/dc/terms/" xmlns:xsi="http://www.w3.org/2001/XMLSchema-instance" xsi:type="dcterms:W3CDTF">2026-10-11T06:13:26Z</dcterms:modified>
  <cp:revision>0</cp:revision>
</cp:coreProperties>
</file>